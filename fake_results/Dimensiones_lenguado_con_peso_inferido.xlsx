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F9275F30-7AC5-4681-A3E7-E38909BBFE27}" xr6:coauthVersionLast="47" xr6:coauthVersionMax="47" xr10:uidLastSave="{00000000-0000-0000-0000-000000000000}"/>
  <bookViews>
    <workbookView xWindow="1992" yWindow="1188" windowWidth="28212" windowHeight="215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" i="1"/>
  <c r="J201" i="1"/>
  <c r="J202" i="1"/>
  <c r="J203" i="1"/>
  <c r="J204" i="1"/>
  <c r="J205" i="1"/>
  <c r="J206" i="1"/>
  <c r="J207" i="1"/>
  <c r="J208" i="1"/>
  <c r="J209" i="1"/>
  <c r="J210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</calcChain>
</file>

<file path=xl/sharedStrings.xml><?xml version="1.0" encoding="utf-8"?>
<sst xmlns="http://schemas.openxmlformats.org/spreadsheetml/2006/main" count="12" uniqueCount="12">
  <si>
    <t>Peso (g)</t>
  </si>
  <si>
    <t>Longitud (mm)</t>
  </si>
  <si>
    <t>Anchura (mm)</t>
  </si>
  <si>
    <t>Longitud_digital (mm)</t>
  </si>
  <si>
    <t>Anchura_digital (mm)</t>
  </si>
  <si>
    <t>Error_longitud_%</t>
  </si>
  <si>
    <t>Error_anchura_%</t>
  </si>
  <si>
    <t>Peso_inferido</t>
  </si>
  <si>
    <t>Peso_inferido_smear</t>
  </si>
  <si>
    <t>Peso_digital_inferio_digital_smear</t>
  </si>
  <si>
    <t>Error_relativo_peso_digital</t>
  </si>
  <si>
    <t>Error_relativo_peso_real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</si>
</sst>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"/>
  <sheetViews>
    <sheetView tabSelected="1" topLeftCell="A163" workbookViewId="0">
      <selection activeCell="L2" sqref="L2:L210"/>
    </sheetView>
  </sheetViews>
  <sheetFormatPr baseColWidth="10" defaultColWidth="8.88671875" defaultRowHeight="14.4" x14ac:dyDescent="0.3"/>
  <cols>
    <col min="2" max="2" width="13.5546875" bestFit="1" customWidth="1"/>
    <col min="3" max="3" width="13.21875" bestFit="1" customWidth="1"/>
    <col min="4" max="4" width="19.77734375" bestFit="1" customWidth="1"/>
    <col min="5" max="5" width="19.44140625" bestFit="1" customWidth="1"/>
    <col min="7" max="7" width="15.109375" customWidth="1"/>
    <col min="8" max="8" width="14.5546875" bestFit="1" customWidth="1"/>
    <col min="9" max="9" width="23.88671875" style="3" customWidth="1"/>
    <col min="10" max="10" width="19.33203125" customWidth="1"/>
    <col min="11" max="11" width="17.88671875" customWidth="1"/>
    <col min="12" max="12" width="25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2" t="s">
        <v>11</v>
      </c>
      <c r="K1" s="2" t="s">
        <v>9</v>
      </c>
      <c r="L1" s="2" t="s">
        <v>10</v>
      </c>
    </row>
    <row r="2" spans="1:12" x14ac:dyDescent="0.3">
      <c r="A2">
        <v>0.46</v>
      </c>
      <c r="B2">
        <v>33</v>
      </c>
      <c r="C2">
        <v>13</v>
      </c>
      <c r="D2">
        <v>33.299999999999997</v>
      </c>
      <c r="E2">
        <v>12.97</v>
      </c>
      <c r="F2">
        <v>0.90900000000000003</v>
      </c>
      <c r="G2">
        <v>-0.23100000000000001</v>
      </c>
      <c r="H2">
        <v>0.48930586714875779</v>
      </c>
      <c r="I2" s="3">
        <v>0.49199404183675582</v>
      </c>
      <c r="J2" s="3">
        <f>(ABS(I2-A2)/A2)*100</f>
        <v>6.9552264862512621</v>
      </c>
      <c r="K2" s="3">
        <f>EXP(-10.012365)*(D2^1.992998)*(E2^0.908035)*1.005494</f>
        <v>0.4998979741698798</v>
      </c>
      <c r="L2" s="3">
        <f>((ABS(K2-A2))/A2)*100</f>
        <v>8.6734726456260383</v>
      </c>
    </row>
    <row r="3" spans="1:12" x14ac:dyDescent="0.3">
      <c r="A3">
        <v>1.08</v>
      </c>
      <c r="B3">
        <v>45</v>
      </c>
      <c r="C3">
        <v>11</v>
      </c>
      <c r="D3">
        <v>44.74</v>
      </c>
      <c r="E3">
        <v>10.97</v>
      </c>
      <c r="F3">
        <v>-0.57799999999999996</v>
      </c>
      <c r="G3">
        <v>-0.27300000000000002</v>
      </c>
      <c r="H3">
        <v>0.78011003149450087</v>
      </c>
      <c r="I3" s="3">
        <v>0.7843958416212764</v>
      </c>
      <c r="J3" s="3">
        <f t="shared" ref="J3:J66" si="0">(ABS(I3-A3)/A3)*100</f>
        <v>27.370755405437375</v>
      </c>
      <c r="K3" s="3">
        <f t="shared" ref="K3:K66" si="1">EXP(-10.012365)*(D3^1.992998)*(E3^0.908035)*1.005494</f>
        <v>0.77346813129566883</v>
      </c>
      <c r="L3" s="3">
        <f t="shared" ref="L3:L66" si="2">((ABS(K3-A3))/A3)*100</f>
        <v>28.382580435586224</v>
      </c>
    </row>
    <row r="4" spans="1:12" x14ac:dyDescent="0.3">
      <c r="A4">
        <v>0.67</v>
      </c>
      <c r="B4">
        <v>39</v>
      </c>
      <c r="C4">
        <v>15</v>
      </c>
      <c r="D4">
        <v>39.229999999999997</v>
      </c>
      <c r="E4">
        <v>15</v>
      </c>
      <c r="F4">
        <v>0.59</v>
      </c>
      <c r="G4">
        <v>0</v>
      </c>
      <c r="H4">
        <v>0.77733147010862036</v>
      </c>
      <c r="I4" s="3">
        <v>0.78160201522655781</v>
      </c>
      <c r="J4" s="3">
        <f t="shared" si="0"/>
        <v>16.657017197993696</v>
      </c>
      <c r="K4" s="3">
        <f t="shared" si="1"/>
        <v>0.79081471242807611</v>
      </c>
      <c r="L4" s="3">
        <f t="shared" si="2"/>
        <v>18.032046631056129</v>
      </c>
    </row>
    <row r="5" spans="1:12" x14ac:dyDescent="0.3">
      <c r="A5">
        <v>0.98</v>
      </c>
      <c r="B5">
        <v>44</v>
      </c>
      <c r="C5">
        <v>17</v>
      </c>
      <c r="D5">
        <v>43.78</v>
      </c>
      <c r="E5">
        <v>17.04</v>
      </c>
      <c r="F5">
        <v>-0.5</v>
      </c>
      <c r="G5">
        <v>0.23499999999999999</v>
      </c>
      <c r="H5">
        <v>1.107577801531558</v>
      </c>
      <c r="I5" s="3">
        <v>1.1136626715708551</v>
      </c>
      <c r="J5" s="3">
        <f t="shared" si="0"/>
        <v>13.639048119475012</v>
      </c>
      <c r="K5" s="3">
        <f t="shared" si="1"/>
        <v>1.1049468910078613</v>
      </c>
      <c r="L5" s="3">
        <f t="shared" si="2"/>
        <v>12.749682755904212</v>
      </c>
    </row>
    <row r="6" spans="1:12" x14ac:dyDescent="0.3">
      <c r="A6">
        <v>0.93</v>
      </c>
      <c r="B6">
        <v>42</v>
      </c>
      <c r="C6">
        <v>18</v>
      </c>
      <c r="D6">
        <v>41.88</v>
      </c>
      <c r="E6">
        <v>18.04</v>
      </c>
      <c r="F6">
        <v>-0.28599999999999998</v>
      </c>
      <c r="G6">
        <v>0.222</v>
      </c>
      <c r="H6">
        <v>1.0632848379886299</v>
      </c>
      <c r="I6" s="3">
        <v>1.069126368980827</v>
      </c>
      <c r="J6" s="3">
        <f t="shared" si="0"/>
        <v>14.959824621594297</v>
      </c>
      <c r="K6" s="3">
        <f t="shared" si="1"/>
        <v>1.065190804968712</v>
      </c>
      <c r="L6" s="3">
        <f t="shared" si="2"/>
        <v>14.536645695560424</v>
      </c>
    </row>
    <row r="7" spans="1:12" x14ac:dyDescent="0.3">
      <c r="A7">
        <v>1.89</v>
      </c>
      <c r="B7">
        <v>45</v>
      </c>
      <c r="C7">
        <v>20</v>
      </c>
      <c r="D7">
        <v>45.4</v>
      </c>
      <c r="E7">
        <v>19.98</v>
      </c>
      <c r="F7">
        <v>0.88900000000000001</v>
      </c>
      <c r="G7">
        <v>-0.1</v>
      </c>
      <c r="H7">
        <v>1.3425042824672451</v>
      </c>
      <c r="I7" s="3">
        <v>1.349879804145917</v>
      </c>
      <c r="J7" s="3">
        <f t="shared" si="0"/>
        <v>28.577788140427668</v>
      </c>
      <c r="K7" s="3">
        <f t="shared" si="1"/>
        <v>1.3726500617914259</v>
      </c>
      <c r="L7" s="3">
        <f t="shared" si="2"/>
        <v>27.373012603628254</v>
      </c>
    </row>
    <row r="8" spans="1:12" x14ac:dyDescent="0.3">
      <c r="A8">
        <v>1.6</v>
      </c>
      <c r="B8">
        <v>51</v>
      </c>
      <c r="C8">
        <v>18</v>
      </c>
      <c r="D8">
        <v>51.15</v>
      </c>
      <c r="E8">
        <v>18.03</v>
      </c>
      <c r="F8">
        <v>0.29399999999999998</v>
      </c>
      <c r="G8">
        <v>0.16700000000000001</v>
      </c>
      <c r="H8">
        <v>1.5656727184498811</v>
      </c>
      <c r="I8" s="3">
        <v>1.5742742947930199</v>
      </c>
      <c r="J8" s="3">
        <f t="shared" si="0"/>
        <v>1.607856575436259</v>
      </c>
      <c r="K8" s="3">
        <f t="shared" si="1"/>
        <v>1.5859103439413094</v>
      </c>
      <c r="L8" s="3">
        <f t="shared" si="2"/>
        <v>0.88060350366817031</v>
      </c>
    </row>
    <row r="9" spans="1:12" x14ac:dyDescent="0.3">
      <c r="A9">
        <v>1.9</v>
      </c>
      <c r="B9">
        <v>50</v>
      </c>
      <c r="C9">
        <v>20</v>
      </c>
      <c r="D9">
        <v>50.44</v>
      </c>
      <c r="E9">
        <v>20.02</v>
      </c>
      <c r="F9">
        <v>0.88</v>
      </c>
      <c r="G9">
        <v>0.1</v>
      </c>
      <c r="H9">
        <v>1.656190428578634</v>
      </c>
      <c r="I9" s="3">
        <v>1.6652892959487571</v>
      </c>
      <c r="J9" s="3">
        <f t="shared" si="0"/>
        <v>12.353194950065413</v>
      </c>
      <c r="K9" s="3">
        <f t="shared" si="1"/>
        <v>1.696160196479616</v>
      </c>
      <c r="L9" s="3">
        <f t="shared" si="2"/>
        <v>10.728410711599153</v>
      </c>
    </row>
    <row r="10" spans="1:12" x14ac:dyDescent="0.3">
      <c r="A10">
        <v>1.59</v>
      </c>
      <c r="B10">
        <v>54</v>
      </c>
      <c r="C10">
        <v>19</v>
      </c>
      <c r="D10">
        <v>54.11</v>
      </c>
      <c r="E10">
        <v>19.059999999999999</v>
      </c>
      <c r="F10">
        <v>0.20399999999999999</v>
      </c>
      <c r="G10">
        <v>0.316</v>
      </c>
      <c r="H10">
        <v>1.8428755168494291</v>
      </c>
      <c r="I10" s="3">
        <v>1.853000004721183</v>
      </c>
      <c r="J10" s="3">
        <f t="shared" si="0"/>
        <v>16.540880800074394</v>
      </c>
      <c r="K10" s="3">
        <f t="shared" si="1"/>
        <v>1.8658626265961453</v>
      </c>
      <c r="L10" s="3">
        <f t="shared" si="2"/>
        <v>17.349850729317311</v>
      </c>
    </row>
    <row r="11" spans="1:12" x14ac:dyDescent="0.3">
      <c r="A11">
        <v>1.67</v>
      </c>
      <c r="B11">
        <v>54</v>
      </c>
      <c r="C11">
        <v>19</v>
      </c>
      <c r="D11">
        <v>53.81</v>
      </c>
      <c r="E11">
        <v>19.03</v>
      </c>
      <c r="F11">
        <v>-0.35199999999999998</v>
      </c>
      <c r="G11">
        <v>0.158</v>
      </c>
      <c r="H11">
        <v>1.8428755168494291</v>
      </c>
      <c r="I11" s="3">
        <v>1.853000004721183</v>
      </c>
      <c r="J11" s="3">
        <f t="shared" si="0"/>
        <v>10.958084115040903</v>
      </c>
      <c r="K11" s="3">
        <f t="shared" si="1"/>
        <v>1.8426646088994139</v>
      </c>
      <c r="L11" s="3">
        <f t="shared" si="2"/>
        <v>10.339198137689458</v>
      </c>
    </row>
    <row r="12" spans="1:12" x14ac:dyDescent="0.3">
      <c r="A12">
        <v>1.91</v>
      </c>
      <c r="B12">
        <v>54</v>
      </c>
      <c r="C12">
        <v>19</v>
      </c>
      <c r="D12">
        <v>54.47</v>
      </c>
      <c r="E12">
        <v>18.93</v>
      </c>
      <c r="F12">
        <v>0.87</v>
      </c>
      <c r="G12">
        <v>-0.36799999999999999</v>
      </c>
      <c r="H12">
        <v>1.8428755168494291</v>
      </c>
      <c r="I12" s="3">
        <v>1.853000004721183</v>
      </c>
      <c r="J12" s="3">
        <f t="shared" si="0"/>
        <v>2.9842929465349184</v>
      </c>
      <c r="K12" s="3">
        <f t="shared" si="1"/>
        <v>1.8789717363919125</v>
      </c>
      <c r="L12" s="3">
        <f t="shared" si="2"/>
        <v>1.6245164192715926</v>
      </c>
    </row>
    <row r="13" spans="1:12" x14ac:dyDescent="0.3">
      <c r="A13">
        <v>1.94</v>
      </c>
      <c r="B13">
        <v>54</v>
      </c>
      <c r="C13">
        <v>19</v>
      </c>
      <c r="D13">
        <v>53.49</v>
      </c>
      <c r="E13">
        <v>18.93</v>
      </c>
      <c r="F13">
        <v>-0.94399999999999995</v>
      </c>
      <c r="G13">
        <v>-0.36799999999999999</v>
      </c>
      <c r="H13">
        <v>1.8428755168494291</v>
      </c>
      <c r="I13" s="3">
        <v>1.853000004721183</v>
      </c>
      <c r="J13" s="3">
        <f t="shared" si="0"/>
        <v>4.4845358391142769</v>
      </c>
      <c r="K13" s="3">
        <f t="shared" si="1"/>
        <v>1.8121990646860735</v>
      </c>
      <c r="L13" s="3">
        <f t="shared" si="2"/>
        <v>6.5876770780374461</v>
      </c>
    </row>
    <row r="14" spans="1:12" x14ac:dyDescent="0.3">
      <c r="A14">
        <v>2.08</v>
      </c>
      <c r="B14">
        <v>55</v>
      </c>
      <c r="C14">
        <v>19</v>
      </c>
      <c r="D14">
        <v>55.12</v>
      </c>
      <c r="E14">
        <v>19</v>
      </c>
      <c r="F14">
        <v>0.218</v>
      </c>
      <c r="G14">
        <v>0</v>
      </c>
      <c r="H14">
        <v>1.911516547122869</v>
      </c>
      <c r="I14" s="3">
        <v>1.922018138750224</v>
      </c>
      <c r="J14" s="3">
        <f t="shared" si="0"/>
        <v>7.5952817908546191</v>
      </c>
      <c r="K14" s="3">
        <f t="shared" si="1"/>
        <v>1.9303826692353596</v>
      </c>
      <c r="L14" s="3">
        <f t="shared" si="2"/>
        <v>7.1931409021461752</v>
      </c>
    </row>
    <row r="15" spans="1:12" x14ac:dyDescent="0.3">
      <c r="A15">
        <v>1.72</v>
      </c>
      <c r="B15">
        <v>54</v>
      </c>
      <c r="C15">
        <v>20</v>
      </c>
      <c r="D15">
        <v>54.45</v>
      </c>
      <c r="E15">
        <v>19.93</v>
      </c>
      <c r="F15">
        <v>0.83299999999999996</v>
      </c>
      <c r="G15">
        <v>-0.35</v>
      </c>
      <c r="H15">
        <v>1.930739807609779</v>
      </c>
      <c r="I15" s="3">
        <v>1.9413470090115741</v>
      </c>
      <c r="J15" s="3">
        <f t="shared" si="0"/>
        <v>12.869012151835705</v>
      </c>
      <c r="K15" s="3">
        <f t="shared" si="1"/>
        <v>1.967446964312926</v>
      </c>
      <c r="L15" s="3">
        <f t="shared" si="2"/>
        <v>14.386451413542209</v>
      </c>
    </row>
    <row r="16" spans="1:12" x14ac:dyDescent="0.3">
      <c r="A16">
        <v>1.77</v>
      </c>
      <c r="B16">
        <v>54</v>
      </c>
      <c r="C16">
        <v>20</v>
      </c>
      <c r="D16">
        <v>54.06</v>
      </c>
      <c r="E16">
        <v>20.03</v>
      </c>
      <c r="F16">
        <v>0.111</v>
      </c>
      <c r="G16">
        <v>0.15</v>
      </c>
      <c r="H16">
        <v>1.930739807609779</v>
      </c>
      <c r="I16" s="3">
        <v>1.9413470090115741</v>
      </c>
      <c r="J16" s="3">
        <f t="shared" si="0"/>
        <v>9.6806219780550311</v>
      </c>
      <c r="K16" s="3">
        <f t="shared" si="1"/>
        <v>1.9482960883664648</v>
      </c>
      <c r="L16" s="3">
        <f t="shared" si="2"/>
        <v>10.073225331438691</v>
      </c>
    </row>
    <row r="17" spans="1:12" x14ac:dyDescent="0.3">
      <c r="A17">
        <v>2.04</v>
      </c>
      <c r="B17">
        <v>54</v>
      </c>
      <c r="C17">
        <v>20</v>
      </c>
      <c r="D17">
        <v>54.05</v>
      </c>
      <c r="E17">
        <v>20.059999999999999</v>
      </c>
      <c r="F17">
        <v>9.2999999999999999E-2</v>
      </c>
      <c r="G17">
        <v>0.3</v>
      </c>
      <c r="H17">
        <v>1.930739807609779</v>
      </c>
      <c r="I17" s="3">
        <v>1.9413470090115741</v>
      </c>
      <c r="J17" s="3">
        <f t="shared" si="0"/>
        <v>4.8359309308051932</v>
      </c>
      <c r="K17" s="3">
        <f t="shared" si="1"/>
        <v>1.9502264354701346</v>
      </c>
      <c r="L17" s="3">
        <f t="shared" si="2"/>
        <v>4.4006649279345789</v>
      </c>
    </row>
    <row r="18" spans="1:12" x14ac:dyDescent="0.3">
      <c r="A18">
        <v>1.67</v>
      </c>
      <c r="B18">
        <v>55</v>
      </c>
      <c r="C18">
        <v>20</v>
      </c>
      <c r="D18">
        <v>55.45</v>
      </c>
      <c r="E18">
        <v>19.920000000000002</v>
      </c>
      <c r="F18">
        <v>0.81799999999999995</v>
      </c>
      <c r="G18">
        <v>-0.4</v>
      </c>
      <c r="H18">
        <v>2.002653492702763</v>
      </c>
      <c r="I18" s="3">
        <v>2.013655777345873</v>
      </c>
      <c r="J18" s="3">
        <f t="shared" si="0"/>
        <v>20.578190260231921</v>
      </c>
      <c r="K18" s="3">
        <f t="shared" si="1"/>
        <v>2.0391872446239119</v>
      </c>
      <c r="L18" s="3">
        <f t="shared" si="2"/>
        <v>22.107020636162392</v>
      </c>
    </row>
    <row r="19" spans="1:12" x14ac:dyDescent="0.3">
      <c r="A19">
        <v>1.86</v>
      </c>
      <c r="B19">
        <v>55</v>
      </c>
      <c r="C19">
        <v>20</v>
      </c>
      <c r="D19">
        <v>55.2</v>
      </c>
      <c r="E19">
        <v>19.96</v>
      </c>
      <c r="F19">
        <v>0.36399999999999999</v>
      </c>
      <c r="G19">
        <v>-0.2</v>
      </c>
      <c r="H19">
        <v>2.002653492702763</v>
      </c>
      <c r="I19" s="3">
        <v>2.013655777345873</v>
      </c>
      <c r="J19" s="3">
        <f t="shared" si="0"/>
        <v>8.2610632981652081</v>
      </c>
      <c r="K19" s="3">
        <f t="shared" si="1"/>
        <v>2.0245895193582335</v>
      </c>
      <c r="L19" s="3">
        <f t="shared" si="2"/>
        <v>8.848898890227602</v>
      </c>
    </row>
    <row r="20" spans="1:12" x14ac:dyDescent="0.3">
      <c r="A20">
        <v>1.94</v>
      </c>
      <c r="B20">
        <v>55</v>
      </c>
      <c r="C20">
        <v>20</v>
      </c>
      <c r="D20">
        <v>55.4</v>
      </c>
      <c r="E20">
        <v>20.010000000000002</v>
      </c>
      <c r="F20">
        <v>0.72699999999999998</v>
      </c>
      <c r="G20">
        <v>0.05</v>
      </c>
      <c r="H20">
        <v>2.002653492702763</v>
      </c>
      <c r="I20" s="3">
        <v>2.013655777345873</v>
      </c>
      <c r="J20" s="3">
        <f t="shared" si="0"/>
        <v>3.7966895539109813</v>
      </c>
      <c r="K20" s="3">
        <f t="shared" si="1"/>
        <v>2.0438733800267586</v>
      </c>
      <c r="L20" s="3">
        <f t="shared" si="2"/>
        <v>5.3542979395236401</v>
      </c>
    </row>
    <row r="21" spans="1:12" x14ac:dyDescent="0.3">
      <c r="A21">
        <v>2.0699999999999998</v>
      </c>
      <c r="B21">
        <v>56</v>
      </c>
      <c r="C21">
        <v>20</v>
      </c>
      <c r="D21">
        <v>55.83</v>
      </c>
      <c r="E21">
        <v>19.989999999999998</v>
      </c>
      <c r="F21">
        <v>-0.30399999999999999</v>
      </c>
      <c r="G21">
        <v>-0.05</v>
      </c>
      <c r="H21">
        <v>2.0758773723957309</v>
      </c>
      <c r="I21" s="3">
        <v>2.0872819382971759</v>
      </c>
      <c r="J21" s="3">
        <f t="shared" si="0"/>
        <v>0.83487624624038936</v>
      </c>
      <c r="K21" s="3">
        <f t="shared" si="1"/>
        <v>2.0737282651208222</v>
      </c>
      <c r="L21" s="3">
        <f t="shared" si="2"/>
        <v>0.1801094261266841</v>
      </c>
    </row>
    <row r="22" spans="1:12" x14ac:dyDescent="0.3">
      <c r="A22">
        <v>1.97</v>
      </c>
      <c r="B22">
        <v>54</v>
      </c>
      <c r="C22">
        <v>21</v>
      </c>
      <c r="D22">
        <v>54.26</v>
      </c>
      <c r="E22">
        <v>21.06</v>
      </c>
      <c r="F22">
        <v>0.48099999999999998</v>
      </c>
      <c r="G22">
        <v>0.28599999999999998</v>
      </c>
      <c r="H22">
        <v>2.018200829287641</v>
      </c>
      <c r="I22" s="3">
        <v>2.029288528718268</v>
      </c>
      <c r="J22" s="3">
        <f t="shared" si="0"/>
        <v>3.0095699856988865</v>
      </c>
      <c r="K22" s="3">
        <f t="shared" si="1"/>
        <v>2.0541203381293891</v>
      </c>
      <c r="L22" s="3">
        <f t="shared" si="2"/>
        <v>4.2700679253497018</v>
      </c>
    </row>
    <row r="23" spans="1:12" x14ac:dyDescent="0.3">
      <c r="A23">
        <v>1.71</v>
      </c>
      <c r="B23">
        <v>55</v>
      </c>
      <c r="C23">
        <v>21</v>
      </c>
      <c r="D23">
        <v>54.83</v>
      </c>
      <c r="E23">
        <v>21.02</v>
      </c>
      <c r="F23">
        <v>-0.309</v>
      </c>
      <c r="G23">
        <v>9.5000000000000001E-2</v>
      </c>
      <c r="H23">
        <v>2.093372148757906</v>
      </c>
      <c r="I23" s="3">
        <v>2.1048728283954552</v>
      </c>
      <c r="J23" s="3">
        <f t="shared" si="0"/>
        <v>23.091978268740075</v>
      </c>
      <c r="K23" s="3">
        <f t="shared" si="1"/>
        <v>2.0937329774678655</v>
      </c>
      <c r="L23" s="3">
        <f t="shared" si="2"/>
        <v>22.440524998120789</v>
      </c>
    </row>
    <row r="24" spans="1:12" x14ac:dyDescent="0.3">
      <c r="A24">
        <v>1.84</v>
      </c>
      <c r="B24">
        <v>56</v>
      </c>
      <c r="C24">
        <v>21</v>
      </c>
      <c r="D24">
        <v>56.31</v>
      </c>
      <c r="E24">
        <v>21.01</v>
      </c>
      <c r="F24">
        <v>0.55400000000000005</v>
      </c>
      <c r="G24">
        <v>4.8000000000000001E-2</v>
      </c>
      <c r="H24">
        <v>2.1699130136313332</v>
      </c>
      <c r="I24" s="3">
        <v>2.1818341975574351</v>
      </c>
      <c r="J24" s="3">
        <f t="shared" si="0"/>
        <v>18.577945519425818</v>
      </c>
      <c r="K24" s="3">
        <f t="shared" si="1"/>
        <v>2.2069231403776892</v>
      </c>
      <c r="L24" s="3">
        <f t="shared" si="2"/>
        <v>19.941475020526582</v>
      </c>
    </row>
    <row r="25" spans="1:12" x14ac:dyDescent="0.3">
      <c r="A25">
        <v>1.97</v>
      </c>
      <c r="B25">
        <v>56</v>
      </c>
      <c r="C25">
        <v>21</v>
      </c>
      <c r="D25">
        <v>56.26</v>
      </c>
      <c r="E25">
        <v>21.07</v>
      </c>
      <c r="F25">
        <v>0.46400000000000002</v>
      </c>
      <c r="G25">
        <v>0.33300000000000002</v>
      </c>
      <c r="H25">
        <v>2.1699130136313332</v>
      </c>
      <c r="I25" s="3">
        <v>2.1818341975574351</v>
      </c>
      <c r="J25" s="3">
        <f t="shared" si="0"/>
        <v>10.753004952154068</v>
      </c>
      <c r="K25" s="3">
        <f t="shared" si="1"/>
        <v>2.2087313571902625</v>
      </c>
      <c r="L25" s="3">
        <f t="shared" si="2"/>
        <v>12.118343004581854</v>
      </c>
    </row>
    <row r="26" spans="1:12" x14ac:dyDescent="0.3">
      <c r="A26">
        <v>2.13</v>
      </c>
      <c r="B26">
        <v>56</v>
      </c>
      <c r="C26">
        <v>21</v>
      </c>
      <c r="D26">
        <v>56.48</v>
      </c>
      <c r="E26">
        <v>21.02</v>
      </c>
      <c r="F26">
        <v>0.85699999999999998</v>
      </c>
      <c r="G26">
        <v>9.5000000000000001E-2</v>
      </c>
      <c r="H26">
        <v>2.1699130136313332</v>
      </c>
      <c r="I26" s="3">
        <v>2.1818341975574351</v>
      </c>
      <c r="J26" s="3">
        <f t="shared" si="0"/>
        <v>2.433530401757523</v>
      </c>
      <c r="K26" s="3">
        <f t="shared" si="1"/>
        <v>2.2211813431572431</v>
      </c>
      <c r="L26" s="3">
        <f t="shared" si="2"/>
        <v>4.280814232734425</v>
      </c>
    </row>
    <row r="27" spans="1:12" x14ac:dyDescent="0.3">
      <c r="A27">
        <v>2.23</v>
      </c>
      <c r="B27">
        <v>56</v>
      </c>
      <c r="C27">
        <v>21</v>
      </c>
      <c r="D27">
        <v>55.56</v>
      </c>
      <c r="E27">
        <v>21.06</v>
      </c>
      <c r="F27">
        <v>-0.78600000000000003</v>
      </c>
      <c r="G27">
        <v>0.28599999999999998</v>
      </c>
      <c r="H27">
        <v>2.1699130136313332</v>
      </c>
      <c r="I27" s="3">
        <v>2.1818341975574351</v>
      </c>
      <c r="J27" s="3">
        <f t="shared" si="0"/>
        <v>2.1599014548235358</v>
      </c>
      <c r="K27" s="3">
        <f t="shared" si="1"/>
        <v>2.153370604319103</v>
      </c>
      <c r="L27" s="3">
        <f t="shared" si="2"/>
        <v>3.4362957704438113</v>
      </c>
    </row>
    <row r="28" spans="1:12" x14ac:dyDescent="0.3">
      <c r="A28">
        <v>2.37</v>
      </c>
      <c r="B28">
        <v>56</v>
      </c>
      <c r="C28">
        <v>21</v>
      </c>
      <c r="D28">
        <v>55.8</v>
      </c>
      <c r="E28">
        <v>20.98</v>
      </c>
      <c r="F28">
        <v>-0.35699999999999998</v>
      </c>
      <c r="G28">
        <v>-9.5000000000000001E-2</v>
      </c>
      <c r="H28">
        <v>2.1699130136313332</v>
      </c>
      <c r="I28" s="3">
        <v>2.1818341975574351</v>
      </c>
      <c r="J28" s="3">
        <f t="shared" si="0"/>
        <v>7.9394853351293229</v>
      </c>
      <c r="K28" s="3">
        <f t="shared" si="1"/>
        <v>2.1644557963930326</v>
      </c>
      <c r="L28" s="3">
        <f t="shared" si="2"/>
        <v>8.6727512070450405</v>
      </c>
    </row>
    <row r="29" spans="1:12" x14ac:dyDescent="0.3">
      <c r="A29">
        <v>2.1800000000000002</v>
      </c>
      <c r="B29">
        <v>57</v>
      </c>
      <c r="C29">
        <v>21</v>
      </c>
      <c r="D29">
        <v>56.61</v>
      </c>
      <c r="E29">
        <v>20.95</v>
      </c>
      <c r="F29">
        <v>-0.68400000000000005</v>
      </c>
      <c r="G29">
        <v>-0.23799999999999999</v>
      </c>
      <c r="H29">
        <v>2.247823251121833</v>
      </c>
      <c r="I29" s="3">
        <v>2.2601724624688568</v>
      </c>
      <c r="J29" s="3">
        <f t="shared" si="0"/>
        <v>3.6776358930668196</v>
      </c>
      <c r="K29" s="3">
        <f t="shared" si="1"/>
        <v>2.2246336557849937</v>
      </c>
      <c r="L29" s="3">
        <f t="shared" si="2"/>
        <v>2.0474154029813558</v>
      </c>
    </row>
    <row r="30" spans="1:12" x14ac:dyDescent="0.3">
      <c r="A30">
        <v>2.41</v>
      </c>
      <c r="B30">
        <v>57</v>
      </c>
      <c r="C30">
        <v>21</v>
      </c>
      <c r="D30">
        <v>57.1</v>
      </c>
      <c r="E30">
        <v>20.94</v>
      </c>
      <c r="F30">
        <v>0.17499999999999999</v>
      </c>
      <c r="G30">
        <v>-0.28599999999999998</v>
      </c>
      <c r="H30">
        <v>2.247823251121833</v>
      </c>
      <c r="I30" s="3">
        <v>2.2601724624688568</v>
      </c>
      <c r="J30" s="3">
        <f t="shared" si="0"/>
        <v>6.2169102710017965</v>
      </c>
      <c r="K30" s="3">
        <f t="shared" si="1"/>
        <v>2.2621943886199927</v>
      </c>
      <c r="L30" s="3">
        <f t="shared" si="2"/>
        <v>6.1330129203322601</v>
      </c>
    </row>
    <row r="31" spans="1:12" x14ac:dyDescent="0.3">
      <c r="A31">
        <v>2.09</v>
      </c>
      <c r="B31">
        <v>58</v>
      </c>
      <c r="C31">
        <v>21</v>
      </c>
      <c r="D31">
        <v>58.03</v>
      </c>
      <c r="E31">
        <v>20.93</v>
      </c>
      <c r="F31">
        <v>5.1999999999999998E-2</v>
      </c>
      <c r="G31">
        <v>-0.33300000000000002</v>
      </c>
      <c r="H31">
        <v>2.3271026915231778</v>
      </c>
      <c r="I31" s="3">
        <v>2.339887452491153</v>
      </c>
      <c r="J31" s="3">
        <f t="shared" si="0"/>
        <v>11.956337439768095</v>
      </c>
      <c r="K31" s="3">
        <f t="shared" si="1"/>
        <v>2.335206792311372</v>
      </c>
      <c r="L31" s="3">
        <f t="shared" si="2"/>
        <v>11.732382407242685</v>
      </c>
    </row>
    <row r="32" spans="1:12" x14ac:dyDescent="0.3">
      <c r="A32">
        <v>2.21</v>
      </c>
      <c r="B32">
        <v>59</v>
      </c>
      <c r="C32">
        <v>21</v>
      </c>
      <c r="D32">
        <v>59.07</v>
      </c>
      <c r="E32">
        <v>21.08</v>
      </c>
      <c r="F32">
        <v>0.11899999999999999</v>
      </c>
      <c r="G32">
        <v>0.38100000000000001</v>
      </c>
      <c r="H32">
        <v>2.407751168101512</v>
      </c>
      <c r="I32" s="3">
        <v>2.4209789999744551</v>
      </c>
      <c r="J32" s="3">
        <f t="shared" si="0"/>
        <v>9.5465610848169753</v>
      </c>
      <c r="K32" s="3">
        <f t="shared" si="1"/>
        <v>2.4350971337974414</v>
      </c>
      <c r="L32" s="3">
        <f t="shared" si="2"/>
        <v>10.185390669567488</v>
      </c>
    </row>
    <row r="33" spans="1:12" x14ac:dyDescent="0.3">
      <c r="A33">
        <v>2.66</v>
      </c>
      <c r="B33">
        <v>62</v>
      </c>
      <c r="C33">
        <v>20</v>
      </c>
      <c r="D33">
        <v>62.09</v>
      </c>
      <c r="E33">
        <v>19.97</v>
      </c>
      <c r="F33">
        <v>0.14499999999999999</v>
      </c>
      <c r="G33">
        <v>-0.15</v>
      </c>
      <c r="H33">
        <v>2.542725681086615</v>
      </c>
      <c r="I33" s="3">
        <v>2.5566950431428062</v>
      </c>
      <c r="J33" s="3">
        <f t="shared" si="0"/>
        <v>3.8836449946313532</v>
      </c>
      <c r="K33" s="3">
        <f t="shared" si="1"/>
        <v>2.5606014747086663</v>
      </c>
      <c r="L33" s="3">
        <f t="shared" si="2"/>
        <v>3.7367866650877386</v>
      </c>
    </row>
    <row r="34" spans="1:12" x14ac:dyDescent="0.3">
      <c r="A34">
        <v>2.5499999999999998</v>
      </c>
      <c r="B34">
        <v>52</v>
      </c>
      <c r="C34">
        <v>24</v>
      </c>
      <c r="D34">
        <v>51.5</v>
      </c>
      <c r="E34">
        <v>24.07</v>
      </c>
      <c r="F34">
        <v>-0.96199999999999997</v>
      </c>
      <c r="G34">
        <v>0.29199999999999998</v>
      </c>
      <c r="H34">
        <v>2.113279993196</v>
      </c>
      <c r="I34" s="3">
        <v>2.124890043611837</v>
      </c>
      <c r="J34" s="3">
        <f t="shared" si="0"/>
        <v>16.670978681888741</v>
      </c>
      <c r="K34" s="3">
        <f t="shared" si="1"/>
        <v>2.0898813896506847</v>
      </c>
      <c r="L34" s="3">
        <f t="shared" si="2"/>
        <v>18.043867072522161</v>
      </c>
    </row>
    <row r="35" spans="1:12" x14ac:dyDescent="0.3">
      <c r="A35">
        <v>2.2200000000000002</v>
      </c>
      <c r="B35">
        <v>60</v>
      </c>
      <c r="C35">
        <v>21</v>
      </c>
      <c r="D35">
        <v>60.15</v>
      </c>
      <c r="E35">
        <v>20.98</v>
      </c>
      <c r="F35">
        <v>0.25</v>
      </c>
      <c r="G35">
        <v>-9.5000000000000001E-2</v>
      </c>
      <c r="H35">
        <v>2.489768516993315</v>
      </c>
      <c r="I35" s="3">
        <v>2.503446940154999</v>
      </c>
      <c r="J35" s="3">
        <f t="shared" si="0"/>
        <v>12.76788018716211</v>
      </c>
      <c r="K35" s="3">
        <f t="shared" si="1"/>
        <v>2.5137571049239806</v>
      </c>
      <c r="L35" s="3">
        <f t="shared" si="2"/>
        <v>13.23230202360272</v>
      </c>
    </row>
    <row r="36" spans="1:12" x14ac:dyDescent="0.3">
      <c r="A36">
        <v>2.88</v>
      </c>
      <c r="B36">
        <v>58</v>
      </c>
      <c r="C36">
        <v>22</v>
      </c>
      <c r="D36">
        <v>57.57</v>
      </c>
      <c r="E36">
        <v>22</v>
      </c>
      <c r="F36">
        <v>-0.74099999999999999</v>
      </c>
      <c r="G36">
        <v>0</v>
      </c>
      <c r="H36">
        <v>2.427509477704807</v>
      </c>
      <c r="I36" s="3">
        <v>2.440845858833582</v>
      </c>
      <c r="J36" s="3">
        <f t="shared" si="0"/>
        <v>15.248407679389512</v>
      </c>
      <c r="K36" s="3">
        <f t="shared" si="1"/>
        <v>2.4049107131252314</v>
      </c>
      <c r="L36" s="3">
        <f t="shared" si="2"/>
        <v>16.496155794262794</v>
      </c>
    </row>
    <row r="37" spans="1:12" x14ac:dyDescent="0.3">
      <c r="A37">
        <v>2.2999999999999998</v>
      </c>
      <c r="B37">
        <v>61</v>
      </c>
      <c r="C37">
        <v>21</v>
      </c>
      <c r="D37">
        <v>60.9</v>
      </c>
      <c r="E37">
        <v>20.99</v>
      </c>
      <c r="F37">
        <v>-0.16400000000000001</v>
      </c>
      <c r="G37">
        <v>-4.8000000000000001E-2</v>
      </c>
      <c r="H37">
        <v>2.5731545771086108</v>
      </c>
      <c r="I37" s="3">
        <v>2.587291111057807</v>
      </c>
      <c r="J37" s="3">
        <f t="shared" si="0"/>
        <v>12.490917872078573</v>
      </c>
      <c r="K37" s="3">
        <f t="shared" si="1"/>
        <v>2.5777267165610489</v>
      </c>
      <c r="L37" s="3">
        <f t="shared" si="2"/>
        <v>12.075074633089091</v>
      </c>
    </row>
    <row r="38" spans="1:12" x14ac:dyDescent="0.3">
      <c r="A38">
        <v>2.71</v>
      </c>
      <c r="B38">
        <v>61</v>
      </c>
      <c r="C38">
        <v>21</v>
      </c>
      <c r="D38">
        <v>61.56</v>
      </c>
      <c r="E38">
        <v>21</v>
      </c>
      <c r="F38">
        <v>0.91800000000000004</v>
      </c>
      <c r="G38">
        <v>0</v>
      </c>
      <c r="H38">
        <v>2.5731545771086108</v>
      </c>
      <c r="I38" s="3">
        <v>2.587291111057807</v>
      </c>
      <c r="J38" s="3">
        <f t="shared" si="0"/>
        <v>4.5280032819997418</v>
      </c>
      <c r="K38" s="3">
        <f t="shared" si="1"/>
        <v>2.6348419166815433</v>
      </c>
      <c r="L38" s="3">
        <f t="shared" si="2"/>
        <v>2.7733610080611304</v>
      </c>
    </row>
    <row r="39" spans="1:12" x14ac:dyDescent="0.3">
      <c r="A39">
        <v>2.58</v>
      </c>
      <c r="B39">
        <v>56</v>
      </c>
      <c r="C39">
        <v>23</v>
      </c>
      <c r="D39">
        <v>55.47</v>
      </c>
      <c r="E39">
        <v>23.08</v>
      </c>
      <c r="F39">
        <v>-0.94599999999999995</v>
      </c>
      <c r="G39">
        <v>0.34799999999999998</v>
      </c>
      <c r="H39">
        <v>2.3567714615761228</v>
      </c>
      <c r="I39" s="3">
        <v>2.3697192184164861</v>
      </c>
      <c r="J39" s="3">
        <f t="shared" si="0"/>
        <v>8.1504178908338734</v>
      </c>
      <c r="K39" s="3">
        <f t="shared" si="1"/>
        <v>2.3325710076021799</v>
      </c>
      <c r="L39" s="3">
        <f t="shared" si="2"/>
        <v>9.5902710231713222</v>
      </c>
    </row>
    <row r="40" spans="1:12" x14ac:dyDescent="0.3">
      <c r="A40">
        <v>2.35</v>
      </c>
      <c r="B40">
        <v>59</v>
      </c>
      <c r="C40">
        <v>22</v>
      </c>
      <c r="D40">
        <v>59.38</v>
      </c>
      <c r="E40">
        <v>22.01</v>
      </c>
      <c r="F40">
        <v>0.64400000000000002</v>
      </c>
      <c r="G40">
        <v>4.4999999999999998E-2</v>
      </c>
      <c r="H40">
        <v>2.511637669369704</v>
      </c>
      <c r="I40" s="3">
        <v>2.5254362384479072</v>
      </c>
      <c r="J40" s="3">
        <f t="shared" si="0"/>
        <v>7.4653718488471119</v>
      </c>
      <c r="K40" s="3">
        <f t="shared" si="1"/>
        <v>2.5590098722974464</v>
      </c>
      <c r="L40" s="3">
        <f t="shared" si="2"/>
        <v>8.8940371190402665</v>
      </c>
    </row>
    <row r="41" spans="1:12" x14ac:dyDescent="0.3">
      <c r="A41">
        <v>2.4900000000000002</v>
      </c>
      <c r="B41">
        <v>59</v>
      </c>
      <c r="C41">
        <v>22</v>
      </c>
      <c r="D41">
        <v>58.87</v>
      </c>
      <c r="E41">
        <v>21.94</v>
      </c>
      <c r="F41">
        <v>-0.22</v>
      </c>
      <c r="G41">
        <v>-0.27300000000000002</v>
      </c>
      <c r="H41">
        <v>2.511637669369704</v>
      </c>
      <c r="I41" s="3">
        <v>2.5254362384479072</v>
      </c>
      <c r="J41" s="3">
        <f t="shared" si="0"/>
        <v>1.4231421063416465</v>
      </c>
      <c r="K41" s="3">
        <f t="shared" si="1"/>
        <v>2.5081279268609316</v>
      </c>
      <c r="L41" s="3">
        <f t="shared" si="2"/>
        <v>0.72802919120206189</v>
      </c>
    </row>
    <row r="42" spans="1:12" x14ac:dyDescent="0.3">
      <c r="A42">
        <v>2.5</v>
      </c>
      <c r="B42">
        <v>59</v>
      </c>
      <c r="C42">
        <v>22</v>
      </c>
      <c r="D42">
        <v>59.06</v>
      </c>
      <c r="E42">
        <v>22.01</v>
      </c>
      <c r="F42">
        <v>0.10199999999999999</v>
      </c>
      <c r="G42">
        <v>4.4999999999999998E-2</v>
      </c>
      <c r="H42">
        <v>2.511637669369704</v>
      </c>
      <c r="I42" s="3">
        <v>2.5254362384479072</v>
      </c>
      <c r="J42" s="3">
        <f t="shared" si="0"/>
        <v>1.0174495379162884</v>
      </c>
      <c r="K42" s="3">
        <f t="shared" si="1"/>
        <v>2.5315988634207645</v>
      </c>
      <c r="L42" s="3">
        <f t="shared" si="2"/>
        <v>1.2639545368305782</v>
      </c>
    </row>
    <row r="43" spans="1:12" x14ac:dyDescent="0.3">
      <c r="A43">
        <v>2.54</v>
      </c>
      <c r="B43">
        <v>59</v>
      </c>
      <c r="C43">
        <v>22</v>
      </c>
      <c r="D43">
        <v>58.76</v>
      </c>
      <c r="E43">
        <v>21.92</v>
      </c>
      <c r="F43">
        <v>-0.40699999999999997</v>
      </c>
      <c r="G43">
        <v>-0.36399999999999999</v>
      </c>
      <c r="H43">
        <v>2.511637669369704</v>
      </c>
      <c r="I43" s="3">
        <v>2.5254362384479072</v>
      </c>
      <c r="J43" s="3">
        <f t="shared" si="0"/>
        <v>0.57337643905877256</v>
      </c>
      <c r="K43" s="3">
        <f t="shared" si="1"/>
        <v>2.4967279629585901</v>
      </c>
      <c r="L43" s="3">
        <f t="shared" si="2"/>
        <v>1.7036235055673195</v>
      </c>
    </row>
    <row r="44" spans="1:12" x14ac:dyDescent="0.3">
      <c r="A44">
        <v>2.83</v>
      </c>
      <c r="B44">
        <v>52</v>
      </c>
      <c r="C44">
        <v>25</v>
      </c>
      <c r="D44">
        <v>51.94</v>
      </c>
      <c r="E44">
        <v>25.04</v>
      </c>
      <c r="F44">
        <v>-0.115</v>
      </c>
      <c r="G44">
        <v>0.16</v>
      </c>
      <c r="H44">
        <v>2.1930846035640679</v>
      </c>
      <c r="I44" s="3">
        <v>2.2051330888076479</v>
      </c>
      <c r="J44" s="3">
        <f t="shared" si="0"/>
        <v>22.080102868987709</v>
      </c>
      <c r="K44" s="3">
        <f t="shared" si="1"/>
        <v>2.2032586201651934</v>
      </c>
      <c r="L44" s="3">
        <f t="shared" si="2"/>
        <v>22.146338510063838</v>
      </c>
    </row>
    <row r="45" spans="1:12" x14ac:dyDescent="0.3">
      <c r="A45">
        <v>2.83</v>
      </c>
      <c r="B45">
        <v>57</v>
      </c>
      <c r="C45">
        <v>23</v>
      </c>
      <c r="D45">
        <v>57.08</v>
      </c>
      <c r="E45">
        <v>22.99</v>
      </c>
      <c r="F45">
        <v>0.14000000000000001</v>
      </c>
      <c r="G45">
        <v>-4.2999999999999997E-2</v>
      </c>
      <c r="H45">
        <v>2.441390809507932</v>
      </c>
      <c r="I45" s="3">
        <v>2.454803452638235</v>
      </c>
      <c r="J45" s="3">
        <f t="shared" si="0"/>
        <v>13.257828528684279</v>
      </c>
      <c r="K45" s="3">
        <f t="shared" si="1"/>
        <v>2.4607000668473891</v>
      </c>
      <c r="L45" s="3">
        <f t="shared" si="2"/>
        <v>13.049467602565759</v>
      </c>
    </row>
    <row r="46" spans="1:12" x14ac:dyDescent="0.3">
      <c r="A46">
        <v>2.2799999999999998</v>
      </c>
      <c r="B46">
        <v>60</v>
      </c>
      <c r="C46">
        <v>22</v>
      </c>
      <c r="D46">
        <v>60.13</v>
      </c>
      <c r="E46">
        <v>21.99</v>
      </c>
      <c r="F46">
        <v>0.217</v>
      </c>
      <c r="G46">
        <v>-4.4999999999999998E-2</v>
      </c>
      <c r="H46">
        <v>2.597193795661989</v>
      </c>
      <c r="I46" s="3">
        <v>2.6114623975530868</v>
      </c>
      <c r="J46" s="3">
        <f t="shared" si="0"/>
        <v>14.537824454082765</v>
      </c>
      <c r="K46" s="3">
        <f t="shared" si="1"/>
        <v>2.6216656893085912</v>
      </c>
      <c r="L46" s="3">
        <f t="shared" si="2"/>
        <v>14.985337250376817</v>
      </c>
    </row>
    <row r="47" spans="1:12" x14ac:dyDescent="0.3">
      <c r="A47">
        <v>2.71</v>
      </c>
      <c r="B47">
        <v>60</v>
      </c>
      <c r="C47">
        <v>22</v>
      </c>
      <c r="D47">
        <v>59.88</v>
      </c>
      <c r="E47">
        <v>21.99</v>
      </c>
      <c r="F47">
        <v>-0.2</v>
      </c>
      <c r="G47">
        <v>-4.4999999999999998E-2</v>
      </c>
      <c r="H47">
        <v>2.597193795661989</v>
      </c>
      <c r="I47" s="3">
        <v>2.6114623975530868</v>
      </c>
      <c r="J47" s="3">
        <f t="shared" si="0"/>
        <v>3.6360738910300046</v>
      </c>
      <c r="K47" s="3">
        <f t="shared" si="1"/>
        <v>2.5999868742591579</v>
      </c>
      <c r="L47" s="3">
        <f t="shared" si="2"/>
        <v>4.059524935086424</v>
      </c>
    </row>
    <row r="48" spans="1:12" x14ac:dyDescent="0.3">
      <c r="A48">
        <v>3.06</v>
      </c>
      <c r="B48">
        <v>64</v>
      </c>
      <c r="C48">
        <v>21</v>
      </c>
      <c r="D48">
        <v>63.79</v>
      </c>
      <c r="E48">
        <v>21.05</v>
      </c>
      <c r="F48">
        <v>-0.32800000000000001</v>
      </c>
      <c r="G48">
        <v>0.23799999999999999</v>
      </c>
      <c r="H48">
        <v>2.831523453597192</v>
      </c>
      <c r="I48" s="3">
        <v>2.847079428269613</v>
      </c>
      <c r="J48" s="3">
        <f t="shared" si="0"/>
        <v>6.958188618640099</v>
      </c>
      <c r="K48" s="3">
        <f t="shared" si="1"/>
        <v>2.8346024650963546</v>
      </c>
      <c r="L48" s="3">
        <f t="shared" si="2"/>
        <v>7.3659325131910274</v>
      </c>
    </row>
    <row r="49" spans="1:12" x14ac:dyDescent="0.3">
      <c r="A49">
        <v>2.5099999999999998</v>
      </c>
      <c r="B49">
        <v>59</v>
      </c>
      <c r="C49">
        <v>23</v>
      </c>
      <c r="D49">
        <v>59.01</v>
      </c>
      <c r="E49">
        <v>22.94</v>
      </c>
      <c r="F49">
        <v>1.7000000000000001E-2</v>
      </c>
      <c r="G49">
        <v>-0.26100000000000001</v>
      </c>
      <c r="H49">
        <v>2.6150906529022349</v>
      </c>
      <c r="I49" s="3">
        <v>2.6294575775028242</v>
      </c>
      <c r="J49" s="3">
        <f t="shared" si="0"/>
        <v>4.759266035969099</v>
      </c>
      <c r="K49" s="3">
        <f t="shared" si="1"/>
        <v>2.6241113610548528</v>
      </c>
      <c r="L49" s="3">
        <f t="shared" si="2"/>
        <v>4.5462693647351786</v>
      </c>
    </row>
    <row r="50" spans="1:12" x14ac:dyDescent="0.3">
      <c r="A50">
        <v>2.63</v>
      </c>
      <c r="B50">
        <v>62</v>
      </c>
      <c r="C50">
        <v>22</v>
      </c>
      <c r="D50">
        <v>61.44</v>
      </c>
      <c r="E50">
        <v>22.01</v>
      </c>
      <c r="F50">
        <v>-0.90300000000000002</v>
      </c>
      <c r="G50">
        <v>4.4999999999999998E-2</v>
      </c>
      <c r="H50">
        <v>2.7725891827640039</v>
      </c>
      <c r="I50" s="3">
        <v>2.7878213811939019</v>
      </c>
      <c r="J50" s="3">
        <f t="shared" si="0"/>
        <v>6.0008129731521667</v>
      </c>
      <c r="K50" s="3">
        <f t="shared" si="1"/>
        <v>2.7389889624720234</v>
      </c>
      <c r="L50" s="3">
        <f t="shared" si="2"/>
        <v>4.1440670141453806</v>
      </c>
    </row>
    <row r="51" spans="1:12" x14ac:dyDescent="0.3">
      <c r="A51">
        <v>2.69</v>
      </c>
      <c r="B51">
        <v>62</v>
      </c>
      <c r="C51">
        <v>22</v>
      </c>
      <c r="D51">
        <v>62.39</v>
      </c>
      <c r="E51">
        <v>21.99</v>
      </c>
      <c r="F51">
        <v>0.629</v>
      </c>
      <c r="G51">
        <v>-4.4999999999999998E-2</v>
      </c>
      <c r="H51">
        <v>2.7725891827640039</v>
      </c>
      <c r="I51" s="3">
        <v>2.7878213811939019</v>
      </c>
      <c r="J51" s="3">
        <f t="shared" si="0"/>
        <v>3.6364825722640126</v>
      </c>
      <c r="K51" s="3">
        <f t="shared" si="1"/>
        <v>2.8217119367986969</v>
      </c>
      <c r="L51" s="3">
        <f t="shared" si="2"/>
        <v>4.8963545278326013</v>
      </c>
    </row>
    <row r="52" spans="1:12" x14ac:dyDescent="0.3">
      <c r="A52">
        <v>2.88</v>
      </c>
      <c r="B52">
        <v>62</v>
      </c>
      <c r="C52">
        <v>22</v>
      </c>
      <c r="D52">
        <v>61.69</v>
      </c>
      <c r="E52">
        <v>22.06</v>
      </c>
      <c r="F52">
        <v>-0.5</v>
      </c>
      <c r="G52">
        <v>0.27300000000000002</v>
      </c>
      <c r="H52">
        <v>2.7725891827640039</v>
      </c>
      <c r="I52" s="3">
        <v>2.7878213811939019</v>
      </c>
      <c r="J52" s="3">
        <f t="shared" si="0"/>
        <v>3.2006464863228481</v>
      </c>
      <c r="K52" s="3">
        <f t="shared" si="1"/>
        <v>2.766940991277961</v>
      </c>
      <c r="L52" s="3">
        <f t="shared" si="2"/>
        <v>3.9256600250707949</v>
      </c>
    </row>
    <row r="53" spans="1:12" x14ac:dyDescent="0.3">
      <c r="A53">
        <v>2.65</v>
      </c>
      <c r="B53">
        <v>63</v>
      </c>
      <c r="C53">
        <v>22</v>
      </c>
      <c r="D53">
        <v>63.26</v>
      </c>
      <c r="E53">
        <v>21.96</v>
      </c>
      <c r="F53">
        <v>0.41299999999999998</v>
      </c>
      <c r="G53">
        <v>-0.182</v>
      </c>
      <c r="H53">
        <v>2.8624281157930631</v>
      </c>
      <c r="I53" s="3">
        <v>2.8781538761480872</v>
      </c>
      <c r="J53" s="3">
        <f t="shared" si="0"/>
        <v>8.6095802320032924</v>
      </c>
      <c r="K53" s="3">
        <f t="shared" si="1"/>
        <v>2.8970807453543475</v>
      </c>
      <c r="L53" s="3">
        <f t="shared" si="2"/>
        <v>9.3238017114848137</v>
      </c>
    </row>
    <row r="54" spans="1:12" x14ac:dyDescent="0.3">
      <c r="A54">
        <v>2.92</v>
      </c>
      <c r="B54">
        <v>61</v>
      </c>
      <c r="C54">
        <v>23</v>
      </c>
      <c r="D54">
        <v>61</v>
      </c>
      <c r="E54">
        <v>23</v>
      </c>
      <c r="F54">
        <v>0</v>
      </c>
      <c r="G54">
        <v>0</v>
      </c>
      <c r="H54">
        <v>2.7947375012074471</v>
      </c>
      <c r="I54" s="3">
        <v>2.8100913792513009</v>
      </c>
      <c r="J54" s="3">
        <f t="shared" si="0"/>
        <v>3.7639938612568153</v>
      </c>
      <c r="K54" s="3">
        <f t="shared" si="1"/>
        <v>2.8100881218507321</v>
      </c>
      <c r="L54" s="3">
        <f t="shared" si="2"/>
        <v>3.7641054160708163</v>
      </c>
    </row>
    <row r="55" spans="1:12" x14ac:dyDescent="0.3">
      <c r="A55">
        <v>2.93</v>
      </c>
      <c r="B55">
        <v>64</v>
      </c>
      <c r="C55">
        <v>22</v>
      </c>
      <c r="D55">
        <v>64.34</v>
      </c>
      <c r="E55">
        <v>22.05</v>
      </c>
      <c r="F55">
        <v>0.53100000000000003</v>
      </c>
      <c r="G55">
        <v>0.22700000000000001</v>
      </c>
      <c r="H55">
        <v>2.953694327709977</v>
      </c>
      <c r="I55" s="3">
        <v>2.9699214912510579</v>
      </c>
      <c r="J55" s="3">
        <f t="shared" si="0"/>
        <v>1.3625082338244949</v>
      </c>
      <c r="K55" s="3">
        <f t="shared" si="1"/>
        <v>3.0076393925285778</v>
      </c>
      <c r="L55" s="3">
        <f t="shared" si="2"/>
        <v>2.6498086187227865</v>
      </c>
    </row>
    <row r="56" spans="1:12" x14ac:dyDescent="0.3">
      <c r="A56">
        <v>2.82</v>
      </c>
      <c r="B56">
        <v>59</v>
      </c>
      <c r="C56">
        <v>24</v>
      </c>
      <c r="D56">
        <v>59.52</v>
      </c>
      <c r="E56">
        <v>24.02</v>
      </c>
      <c r="F56">
        <v>0.88100000000000001</v>
      </c>
      <c r="G56">
        <v>8.3000000000000004E-2</v>
      </c>
      <c r="H56">
        <v>2.7181306728373249</v>
      </c>
      <c r="I56" s="3">
        <v>2.7330636841988478</v>
      </c>
      <c r="J56" s="3">
        <f t="shared" si="0"/>
        <v>3.082848078055036</v>
      </c>
      <c r="K56" s="3">
        <f t="shared" si="1"/>
        <v>2.7833823902585602</v>
      </c>
      <c r="L56" s="3">
        <f t="shared" si="2"/>
        <v>1.2984967993418328</v>
      </c>
    </row>
    <row r="57" spans="1:12" x14ac:dyDescent="0.3">
      <c r="A57">
        <v>2.85</v>
      </c>
      <c r="B57">
        <v>62</v>
      </c>
      <c r="C57">
        <v>23</v>
      </c>
      <c r="D57">
        <v>61.41</v>
      </c>
      <c r="E57">
        <v>22.91</v>
      </c>
      <c r="F57">
        <v>-0.95199999999999996</v>
      </c>
      <c r="G57">
        <v>-0.39100000000000001</v>
      </c>
      <c r="H57">
        <v>2.886790616579471</v>
      </c>
      <c r="I57" s="3">
        <v>2.9026502209415819</v>
      </c>
      <c r="J57" s="3">
        <f t="shared" si="0"/>
        <v>1.8473761733888345</v>
      </c>
      <c r="K57" s="3">
        <f t="shared" si="1"/>
        <v>2.8377356721250675</v>
      </c>
      <c r="L57" s="3">
        <f t="shared" si="2"/>
        <v>0.43032729385728385</v>
      </c>
    </row>
    <row r="58" spans="1:12" x14ac:dyDescent="0.3">
      <c r="A58">
        <v>3.07</v>
      </c>
      <c r="B58">
        <v>62</v>
      </c>
      <c r="C58">
        <v>23</v>
      </c>
      <c r="D58">
        <v>61.76</v>
      </c>
      <c r="E58">
        <v>22.92</v>
      </c>
      <c r="F58">
        <v>-0.38700000000000001</v>
      </c>
      <c r="G58">
        <v>-0.34799999999999998</v>
      </c>
      <c r="H58">
        <v>2.886790616579471</v>
      </c>
      <c r="I58" s="3">
        <v>2.9026502209415819</v>
      </c>
      <c r="J58" s="3">
        <f t="shared" si="0"/>
        <v>5.451132868352377</v>
      </c>
      <c r="K58" s="3">
        <f t="shared" si="1"/>
        <v>2.8711979267218268</v>
      </c>
      <c r="L58" s="3">
        <f t="shared" si="2"/>
        <v>6.4756375660642673</v>
      </c>
    </row>
    <row r="59" spans="1:12" x14ac:dyDescent="0.3">
      <c r="A59">
        <v>2.73</v>
      </c>
      <c r="B59">
        <v>60</v>
      </c>
      <c r="C59">
        <v>24</v>
      </c>
      <c r="D59">
        <v>60.31</v>
      </c>
      <c r="E59">
        <v>23.95</v>
      </c>
      <c r="F59">
        <v>0.51700000000000002</v>
      </c>
      <c r="G59">
        <v>-0.20799999999999999</v>
      </c>
      <c r="H59">
        <v>2.8107207521948152</v>
      </c>
      <c r="I59" s="3">
        <v>2.826162439875997</v>
      </c>
      <c r="J59" s="3">
        <f t="shared" si="0"/>
        <v>3.522433695091467</v>
      </c>
      <c r="K59" s="3">
        <f t="shared" si="1"/>
        <v>2.8499331287915566</v>
      </c>
      <c r="L59" s="3">
        <f t="shared" si="2"/>
        <v>4.3931549007896189</v>
      </c>
    </row>
    <row r="60" spans="1:12" x14ac:dyDescent="0.3">
      <c r="A60">
        <v>3.28</v>
      </c>
      <c r="B60">
        <v>63</v>
      </c>
      <c r="C60">
        <v>23</v>
      </c>
      <c r="D60">
        <v>63.35</v>
      </c>
      <c r="E60">
        <v>22.91</v>
      </c>
      <c r="F60">
        <v>0.55600000000000005</v>
      </c>
      <c r="G60">
        <v>-0.39100000000000001</v>
      </c>
      <c r="H60">
        <v>2.980329966182377</v>
      </c>
      <c r="I60" s="3">
        <v>2.9967034620156849</v>
      </c>
      <c r="J60" s="3">
        <f t="shared" si="0"/>
        <v>8.6370895726925276</v>
      </c>
      <c r="K60" s="3">
        <f t="shared" si="1"/>
        <v>3.019203620325452</v>
      </c>
      <c r="L60" s="3">
        <f t="shared" si="2"/>
        <v>7.9511091364191415</v>
      </c>
    </row>
    <row r="61" spans="1:12" x14ac:dyDescent="0.3">
      <c r="A61">
        <v>2.66</v>
      </c>
      <c r="B61">
        <v>61</v>
      </c>
      <c r="C61">
        <v>24</v>
      </c>
      <c r="D61">
        <v>60.46</v>
      </c>
      <c r="E61">
        <v>23.98</v>
      </c>
      <c r="F61">
        <v>-0.88500000000000001</v>
      </c>
      <c r="G61">
        <v>-8.3000000000000004E-2</v>
      </c>
      <c r="H61">
        <v>2.9048559812372572</v>
      </c>
      <c r="I61" s="3">
        <v>2.9208148340639029</v>
      </c>
      <c r="J61" s="3">
        <f t="shared" si="0"/>
        <v>9.8050689497707779</v>
      </c>
      <c r="K61" s="3">
        <f t="shared" si="1"/>
        <v>2.8673348148661346</v>
      </c>
      <c r="L61" s="3">
        <f t="shared" si="2"/>
        <v>7.7945419122606943</v>
      </c>
    </row>
    <row r="62" spans="1:12" x14ac:dyDescent="0.3">
      <c r="A62">
        <v>2.9</v>
      </c>
      <c r="B62">
        <v>61</v>
      </c>
      <c r="C62">
        <v>24</v>
      </c>
      <c r="D62">
        <v>60.52</v>
      </c>
      <c r="E62">
        <v>24.04</v>
      </c>
      <c r="F62">
        <v>-0.78700000000000003</v>
      </c>
      <c r="G62">
        <v>0.16700000000000001</v>
      </c>
      <c r="H62">
        <v>2.9048559812372572</v>
      </c>
      <c r="I62" s="3">
        <v>2.9208148340639029</v>
      </c>
      <c r="J62" s="3">
        <f t="shared" si="0"/>
        <v>0.71775289875527393</v>
      </c>
      <c r="K62" s="3">
        <f t="shared" si="1"/>
        <v>2.8795353935463885</v>
      </c>
      <c r="L62" s="3">
        <f t="shared" si="2"/>
        <v>0.70567608460728848</v>
      </c>
    </row>
    <row r="63" spans="1:12" x14ac:dyDescent="0.3">
      <c r="A63">
        <v>3.11</v>
      </c>
      <c r="B63">
        <v>61</v>
      </c>
      <c r="C63">
        <v>24</v>
      </c>
      <c r="D63">
        <v>61.5</v>
      </c>
      <c r="E63">
        <v>23.97</v>
      </c>
      <c r="F63">
        <v>0.82</v>
      </c>
      <c r="G63">
        <v>-0.125</v>
      </c>
      <c r="H63">
        <v>2.9048559812372572</v>
      </c>
      <c r="I63" s="3">
        <v>2.9208148340639029</v>
      </c>
      <c r="J63" s="3">
        <f t="shared" si="0"/>
        <v>6.0831243066269147</v>
      </c>
      <c r="K63" s="3">
        <f t="shared" si="1"/>
        <v>2.9653502998774872</v>
      </c>
      <c r="L63" s="3">
        <f t="shared" si="2"/>
        <v>4.6511157595663235</v>
      </c>
    </row>
    <row r="64" spans="1:12" x14ac:dyDescent="0.3">
      <c r="A64">
        <v>4.29</v>
      </c>
      <c r="B64">
        <v>70</v>
      </c>
      <c r="C64">
        <v>21</v>
      </c>
      <c r="D64">
        <v>70.260000000000005</v>
      </c>
      <c r="E64">
        <v>21.01</v>
      </c>
      <c r="F64">
        <v>0.371</v>
      </c>
      <c r="G64">
        <v>4.8000000000000001E-2</v>
      </c>
      <c r="H64">
        <v>3.3851958050735682</v>
      </c>
      <c r="I64" s="3">
        <v>3.4037935744609298</v>
      </c>
      <c r="J64" s="3">
        <f t="shared" si="0"/>
        <v>20.657492436808162</v>
      </c>
      <c r="K64" s="3">
        <f t="shared" si="1"/>
        <v>3.4305155644324921</v>
      </c>
      <c r="L64" s="3">
        <f t="shared" si="2"/>
        <v>20.034602227680839</v>
      </c>
    </row>
    <row r="65" spans="1:12" x14ac:dyDescent="0.3">
      <c r="A65">
        <v>2.63</v>
      </c>
      <c r="B65">
        <v>64</v>
      </c>
      <c r="C65">
        <v>23</v>
      </c>
      <c r="D65">
        <v>64.33</v>
      </c>
      <c r="E65">
        <v>23.01</v>
      </c>
      <c r="F65">
        <v>0.51600000000000001</v>
      </c>
      <c r="G65">
        <v>4.2999999999999997E-2</v>
      </c>
      <c r="H65">
        <v>3.0753553835108298</v>
      </c>
      <c r="I65" s="3">
        <v>3.092250935053519</v>
      </c>
      <c r="J65" s="3">
        <f t="shared" si="0"/>
        <v>17.576081180742172</v>
      </c>
      <c r="K65" s="3">
        <f t="shared" si="1"/>
        <v>3.125339213490903</v>
      </c>
      <c r="L65" s="3">
        <f t="shared" si="2"/>
        <v>18.834190627030541</v>
      </c>
    </row>
    <row r="66" spans="1:12" x14ac:dyDescent="0.3">
      <c r="A66">
        <v>2.94</v>
      </c>
      <c r="B66">
        <v>64</v>
      </c>
      <c r="C66">
        <v>23</v>
      </c>
      <c r="D66">
        <v>64.12</v>
      </c>
      <c r="E66">
        <v>22.98</v>
      </c>
      <c r="F66">
        <v>0.188</v>
      </c>
      <c r="G66">
        <v>-8.6999999999999994E-2</v>
      </c>
      <c r="H66">
        <v>3.0753553835108298</v>
      </c>
      <c r="I66" s="3">
        <v>3.092250935053519</v>
      </c>
      <c r="J66" s="3">
        <f t="shared" si="0"/>
        <v>5.1786032331128933</v>
      </c>
      <c r="K66" s="3">
        <f t="shared" si="1"/>
        <v>3.1013625708796404</v>
      </c>
      <c r="L66" s="3">
        <f t="shared" si="2"/>
        <v>5.4885228190353903</v>
      </c>
    </row>
    <row r="67" spans="1:12" x14ac:dyDescent="0.3">
      <c r="A67">
        <v>3.31</v>
      </c>
      <c r="B67">
        <v>65</v>
      </c>
      <c r="C67">
        <v>23</v>
      </c>
      <c r="D67">
        <v>65.37</v>
      </c>
      <c r="E67">
        <v>23.09</v>
      </c>
      <c r="F67">
        <v>0.56899999999999995</v>
      </c>
      <c r="G67">
        <v>0.39100000000000001</v>
      </c>
      <c r="H67">
        <v>3.1718667047001818</v>
      </c>
      <c r="I67" s="3">
        <v>3.189292475290189</v>
      </c>
      <c r="J67" s="3">
        <f t="shared" ref="J67:J130" si="3">(ABS(I67-A67)/A67)*100</f>
        <v>3.6467530123809988</v>
      </c>
      <c r="K67" s="3">
        <f t="shared" ref="K67:K130" si="4">EXP(-10.012365)*(D67^1.992998)*(E67^0.908035)*1.005494</f>
        <v>3.2370317102951125</v>
      </c>
      <c r="L67" s="3">
        <f t="shared" ref="L67:L130" si="5">((ABS(K67-A67))/A67)*100</f>
        <v>2.204480051507177</v>
      </c>
    </row>
    <row r="68" spans="1:12" x14ac:dyDescent="0.3">
      <c r="A68">
        <v>3.5</v>
      </c>
      <c r="B68">
        <v>65</v>
      </c>
      <c r="C68">
        <v>23</v>
      </c>
      <c r="D68">
        <v>65.349999999999994</v>
      </c>
      <c r="E68">
        <v>22.97</v>
      </c>
      <c r="F68">
        <v>0.53800000000000003</v>
      </c>
      <c r="G68">
        <v>-0.13</v>
      </c>
      <c r="H68">
        <v>3.1718667047001818</v>
      </c>
      <c r="I68" s="3">
        <v>3.189292475290189</v>
      </c>
      <c r="J68" s="3">
        <f t="shared" si="3"/>
        <v>8.8773578488517426</v>
      </c>
      <c r="K68" s="3">
        <f t="shared" si="4"/>
        <v>3.2197879564616954</v>
      </c>
      <c r="L68" s="3">
        <f t="shared" si="5"/>
        <v>8.0060583868087036</v>
      </c>
    </row>
    <row r="69" spans="1:12" x14ac:dyDescent="0.3">
      <c r="A69">
        <v>2.82</v>
      </c>
      <c r="B69">
        <v>66</v>
      </c>
      <c r="C69">
        <v>23</v>
      </c>
      <c r="D69">
        <v>66.17</v>
      </c>
      <c r="E69">
        <v>22.98</v>
      </c>
      <c r="F69">
        <v>0.25800000000000001</v>
      </c>
      <c r="G69">
        <v>-8.6999999999999994E-2</v>
      </c>
      <c r="H69">
        <v>3.2698637684442629</v>
      </c>
      <c r="I69" s="3">
        <v>3.2878279205333309</v>
      </c>
      <c r="J69" s="3">
        <f t="shared" si="3"/>
        <v>16.589642572103941</v>
      </c>
      <c r="K69" s="3">
        <f t="shared" si="4"/>
        <v>3.302114152176383</v>
      </c>
      <c r="L69" s="3">
        <f t="shared" si="5"/>
        <v>17.096246531077419</v>
      </c>
    </row>
    <row r="70" spans="1:12" x14ac:dyDescent="0.3">
      <c r="A70">
        <v>3.79</v>
      </c>
      <c r="B70">
        <v>66</v>
      </c>
      <c r="C70">
        <v>23</v>
      </c>
      <c r="D70">
        <v>66.16</v>
      </c>
      <c r="E70">
        <v>23.08</v>
      </c>
      <c r="F70">
        <v>0.24199999999999999</v>
      </c>
      <c r="G70">
        <v>0.34799999999999998</v>
      </c>
      <c r="H70">
        <v>3.2698637684442629</v>
      </c>
      <c r="I70" s="3">
        <v>3.2878279205333309</v>
      </c>
      <c r="J70" s="3">
        <f t="shared" si="3"/>
        <v>13.249922941073065</v>
      </c>
      <c r="K70" s="3">
        <f t="shared" si="4"/>
        <v>3.3141611365165895</v>
      </c>
      <c r="L70" s="3">
        <f t="shared" si="5"/>
        <v>12.555115131488403</v>
      </c>
    </row>
    <row r="71" spans="1:12" x14ac:dyDescent="0.3">
      <c r="A71">
        <v>3.34</v>
      </c>
      <c r="B71">
        <v>64</v>
      </c>
      <c r="C71">
        <v>24</v>
      </c>
      <c r="D71">
        <v>63.92</v>
      </c>
      <c r="E71">
        <v>23.94</v>
      </c>
      <c r="F71">
        <v>-0.125</v>
      </c>
      <c r="G71">
        <v>-0.25</v>
      </c>
      <c r="H71">
        <v>3.1965307927352709</v>
      </c>
      <c r="I71" s="3">
        <v>3.2140920642084878</v>
      </c>
      <c r="J71" s="3">
        <f t="shared" si="3"/>
        <v>3.7696986763925766</v>
      </c>
      <c r="K71" s="3">
        <f t="shared" si="4"/>
        <v>3.1988072455789847</v>
      </c>
      <c r="L71" s="3">
        <f t="shared" si="5"/>
        <v>4.2273279766771017</v>
      </c>
    </row>
    <row r="72" spans="1:12" x14ac:dyDescent="0.3">
      <c r="A72">
        <v>2.98</v>
      </c>
      <c r="B72">
        <v>62</v>
      </c>
      <c r="C72">
        <v>25</v>
      </c>
      <c r="D72">
        <v>61.87</v>
      </c>
      <c r="E72">
        <v>25.08</v>
      </c>
      <c r="F72">
        <v>-0.21</v>
      </c>
      <c r="G72">
        <v>0.32</v>
      </c>
      <c r="H72">
        <v>3.1138465903585062</v>
      </c>
      <c r="I72" s="3">
        <v>3.1309536069477142</v>
      </c>
      <c r="J72" s="3">
        <f t="shared" si="3"/>
        <v>5.0655572801246374</v>
      </c>
      <c r="K72" s="3">
        <f t="shared" si="4"/>
        <v>3.1269380487840888</v>
      </c>
      <c r="L72" s="3">
        <f t="shared" si="5"/>
        <v>4.930807006177476</v>
      </c>
    </row>
    <row r="73" spans="1:12" x14ac:dyDescent="0.3">
      <c r="A73">
        <v>3.77</v>
      </c>
      <c r="B73">
        <v>62</v>
      </c>
      <c r="C73">
        <v>25</v>
      </c>
      <c r="D73">
        <v>61.69</v>
      </c>
      <c r="E73">
        <v>25</v>
      </c>
      <c r="F73">
        <v>-0.5</v>
      </c>
      <c r="G73">
        <v>0</v>
      </c>
      <c r="H73">
        <v>3.1138465903585062</v>
      </c>
      <c r="I73" s="3">
        <v>3.1309536069477142</v>
      </c>
      <c r="J73" s="3">
        <f t="shared" si="3"/>
        <v>16.950832706957183</v>
      </c>
      <c r="K73" s="3">
        <f t="shared" si="4"/>
        <v>3.099827491263917</v>
      </c>
      <c r="L73" s="3">
        <f t="shared" si="5"/>
        <v>17.776459117667983</v>
      </c>
    </row>
    <row r="74" spans="1:12" x14ac:dyDescent="0.3">
      <c r="A74">
        <v>3.07</v>
      </c>
      <c r="B74">
        <v>65</v>
      </c>
      <c r="C74">
        <v>24</v>
      </c>
      <c r="D74">
        <v>65.290000000000006</v>
      </c>
      <c r="E74">
        <v>23.96</v>
      </c>
      <c r="F74">
        <v>0.44600000000000001</v>
      </c>
      <c r="G74">
        <v>-0.16700000000000001</v>
      </c>
      <c r="H74">
        <v>3.2968448610486201</v>
      </c>
      <c r="I74" s="3">
        <v>3.3149572433042631</v>
      </c>
      <c r="J74" s="3">
        <f t="shared" si="3"/>
        <v>7.979063299813137</v>
      </c>
      <c r="K74" s="3">
        <f t="shared" si="4"/>
        <v>3.3394327564455475</v>
      </c>
      <c r="L74" s="3">
        <f t="shared" si="5"/>
        <v>8.7763112848712588</v>
      </c>
    </row>
    <row r="75" spans="1:12" x14ac:dyDescent="0.3">
      <c r="A75">
        <v>3.27</v>
      </c>
      <c r="B75">
        <v>65</v>
      </c>
      <c r="C75">
        <v>24</v>
      </c>
      <c r="D75">
        <v>65.48</v>
      </c>
      <c r="E75">
        <v>23.95</v>
      </c>
      <c r="F75">
        <v>0.73799999999999999</v>
      </c>
      <c r="G75">
        <v>-0.20799999999999999</v>
      </c>
      <c r="H75">
        <v>3.2968448610486201</v>
      </c>
      <c r="I75" s="3">
        <v>3.3149572433042631</v>
      </c>
      <c r="J75" s="3">
        <f t="shared" si="3"/>
        <v>1.3748392447786879</v>
      </c>
      <c r="K75" s="3">
        <f t="shared" si="4"/>
        <v>3.3575558653004518</v>
      </c>
      <c r="L75" s="3">
        <f t="shared" si="5"/>
        <v>2.6775493975673328</v>
      </c>
    </row>
    <row r="76" spans="1:12" x14ac:dyDescent="0.3">
      <c r="A76">
        <v>3.58</v>
      </c>
      <c r="B76">
        <v>65</v>
      </c>
      <c r="C76">
        <v>24</v>
      </c>
      <c r="D76">
        <v>65.09</v>
      </c>
      <c r="E76">
        <v>23.92</v>
      </c>
      <c r="F76">
        <v>0.13800000000000001</v>
      </c>
      <c r="G76">
        <v>-0.33300000000000002</v>
      </c>
      <c r="H76">
        <v>3.2968448610486201</v>
      </c>
      <c r="I76" s="3">
        <v>3.3149572433042631</v>
      </c>
      <c r="J76" s="3">
        <f t="shared" si="3"/>
        <v>7.4034289579814798</v>
      </c>
      <c r="K76" s="3">
        <f t="shared" si="4"/>
        <v>3.3140444801135369</v>
      </c>
      <c r="L76" s="3">
        <f t="shared" si="5"/>
        <v>7.4289251364933833</v>
      </c>
    </row>
    <row r="77" spans="1:12" x14ac:dyDescent="0.3">
      <c r="A77">
        <v>3.65</v>
      </c>
      <c r="B77">
        <v>65</v>
      </c>
      <c r="C77">
        <v>24</v>
      </c>
      <c r="D77">
        <v>64.86</v>
      </c>
      <c r="E77">
        <v>24.01</v>
      </c>
      <c r="F77">
        <v>-0.215</v>
      </c>
      <c r="G77">
        <v>4.2000000000000003E-2</v>
      </c>
      <c r="H77">
        <v>3.2968448610486201</v>
      </c>
      <c r="I77" s="3">
        <v>3.3149572433042631</v>
      </c>
      <c r="J77" s="3">
        <f t="shared" si="3"/>
        <v>9.1792536081023783</v>
      </c>
      <c r="K77" s="3">
        <f t="shared" si="4"/>
        <v>3.3019875715607987</v>
      </c>
      <c r="L77" s="3">
        <f t="shared" si="5"/>
        <v>9.5345870805260606</v>
      </c>
    </row>
    <row r="78" spans="1:12" x14ac:dyDescent="0.3">
      <c r="A78">
        <v>3.63</v>
      </c>
      <c r="B78">
        <v>66</v>
      </c>
      <c r="C78">
        <v>24</v>
      </c>
      <c r="D78">
        <v>66.53</v>
      </c>
      <c r="E78">
        <v>24.01</v>
      </c>
      <c r="F78">
        <v>0.80300000000000005</v>
      </c>
      <c r="G78">
        <v>4.2000000000000003E-2</v>
      </c>
      <c r="H78">
        <v>3.3987032132687101</v>
      </c>
      <c r="I78" s="3">
        <v>3.4173751903761271</v>
      </c>
      <c r="J78" s="3">
        <f t="shared" si="3"/>
        <v>5.8574327720075141</v>
      </c>
      <c r="K78" s="3">
        <f t="shared" si="4"/>
        <v>3.4735958429084866</v>
      </c>
      <c r="L78" s="3">
        <f t="shared" si="5"/>
        <v>4.308654465330946</v>
      </c>
    </row>
    <row r="79" spans="1:12" x14ac:dyDescent="0.3">
      <c r="A79">
        <v>3.9</v>
      </c>
      <c r="B79">
        <v>66</v>
      </c>
      <c r="C79">
        <v>24</v>
      </c>
      <c r="D79">
        <v>65.83</v>
      </c>
      <c r="E79">
        <v>23.95</v>
      </c>
      <c r="F79">
        <v>-0.25800000000000001</v>
      </c>
      <c r="G79">
        <v>-0.20799999999999999</v>
      </c>
      <c r="H79">
        <v>3.3987032132687101</v>
      </c>
      <c r="I79" s="3">
        <v>3.4173751903761271</v>
      </c>
      <c r="J79" s="3">
        <f t="shared" si="3"/>
        <v>12.37499511856084</v>
      </c>
      <c r="K79" s="3">
        <f t="shared" si="4"/>
        <v>3.3934183601654779</v>
      </c>
      <c r="L79" s="3">
        <f t="shared" si="5"/>
        <v>12.989272816269795</v>
      </c>
    </row>
    <row r="80" spans="1:12" x14ac:dyDescent="0.3">
      <c r="A80">
        <v>3.37</v>
      </c>
      <c r="B80">
        <v>67</v>
      </c>
      <c r="C80">
        <v>24</v>
      </c>
      <c r="D80">
        <v>67.39</v>
      </c>
      <c r="E80">
        <v>23.93</v>
      </c>
      <c r="F80">
        <v>0.58199999999999996</v>
      </c>
      <c r="G80">
        <v>-0.29199999999999998</v>
      </c>
      <c r="H80">
        <v>3.502105684311406</v>
      </c>
      <c r="I80" s="3">
        <v>3.5213457394329968</v>
      </c>
      <c r="J80" s="3">
        <f t="shared" si="3"/>
        <v>4.4909714965280907</v>
      </c>
      <c r="K80" s="3">
        <f t="shared" si="4"/>
        <v>3.5528750468781678</v>
      </c>
      <c r="L80" s="3">
        <f t="shared" si="5"/>
        <v>5.426559254545035</v>
      </c>
    </row>
    <row r="81" spans="1:12" x14ac:dyDescent="0.3">
      <c r="A81">
        <v>2.6</v>
      </c>
      <c r="B81">
        <v>65</v>
      </c>
      <c r="C81">
        <v>25</v>
      </c>
      <c r="D81">
        <v>64.489999999999995</v>
      </c>
      <c r="E81">
        <v>25.05</v>
      </c>
      <c r="F81">
        <v>-0.78500000000000003</v>
      </c>
      <c r="G81">
        <v>0.2</v>
      </c>
      <c r="H81">
        <v>3.4213448896425831</v>
      </c>
      <c r="I81" s="3">
        <v>3.4401412568000862</v>
      </c>
      <c r="J81" s="3">
        <f t="shared" si="3"/>
        <v>32.313125261541771</v>
      </c>
      <c r="K81" s="3">
        <f t="shared" si="4"/>
        <v>3.3927017176025474</v>
      </c>
      <c r="L81" s="3">
        <f t="shared" si="5"/>
        <v>30.488527600097971</v>
      </c>
    </row>
    <row r="82" spans="1:12" x14ac:dyDescent="0.3">
      <c r="A82">
        <v>3.6</v>
      </c>
      <c r="B82">
        <v>68</v>
      </c>
      <c r="C82">
        <v>24</v>
      </c>
      <c r="D82">
        <v>68.430000000000007</v>
      </c>
      <c r="E82">
        <v>24.02</v>
      </c>
      <c r="F82">
        <v>0.63200000000000001</v>
      </c>
      <c r="G82">
        <v>8.3000000000000004E-2</v>
      </c>
      <c r="H82">
        <v>3.6070521115925609</v>
      </c>
      <c r="I82" s="3">
        <v>3.6268687269975119</v>
      </c>
      <c r="J82" s="3">
        <f t="shared" si="3"/>
        <v>0.7463535277086627</v>
      </c>
      <c r="K82" s="3">
        <f t="shared" si="4"/>
        <v>3.6754955702537422</v>
      </c>
      <c r="L82" s="3">
        <f t="shared" si="5"/>
        <v>2.0970991737150579</v>
      </c>
    </row>
    <row r="83" spans="1:12" x14ac:dyDescent="0.3">
      <c r="A83">
        <v>3.31</v>
      </c>
      <c r="B83">
        <v>66</v>
      </c>
      <c r="C83">
        <v>25</v>
      </c>
      <c r="D83">
        <v>66.540000000000006</v>
      </c>
      <c r="E83">
        <v>25.02</v>
      </c>
      <c r="F83">
        <v>0.81799999999999995</v>
      </c>
      <c r="G83">
        <v>0.08</v>
      </c>
      <c r="H83">
        <v>3.5270497582437619</v>
      </c>
      <c r="I83" s="3">
        <v>3.5464268524500291</v>
      </c>
      <c r="J83" s="3">
        <f t="shared" si="3"/>
        <v>7.1428052099706649</v>
      </c>
      <c r="K83" s="3">
        <f t="shared" si="4"/>
        <v>3.6071050770789452</v>
      </c>
      <c r="L83" s="3">
        <f t="shared" si="5"/>
        <v>8.97598420178082</v>
      </c>
    </row>
    <row r="84" spans="1:12" x14ac:dyDescent="0.3">
      <c r="A84">
        <v>3.64</v>
      </c>
      <c r="B84">
        <v>66</v>
      </c>
      <c r="C84">
        <v>25</v>
      </c>
      <c r="D84">
        <v>66.16</v>
      </c>
      <c r="E84">
        <v>25.04</v>
      </c>
      <c r="F84">
        <v>0.24199999999999999</v>
      </c>
      <c r="G84">
        <v>0.16</v>
      </c>
      <c r="H84">
        <v>3.5270497582437619</v>
      </c>
      <c r="I84" s="3">
        <v>3.5464268524500291</v>
      </c>
      <c r="J84" s="3">
        <f t="shared" si="3"/>
        <v>2.5706908667574457</v>
      </c>
      <c r="K84" s="3">
        <f t="shared" si="4"/>
        <v>3.568754846799457</v>
      </c>
      <c r="L84" s="3">
        <f t="shared" si="5"/>
        <v>1.9572844285863498</v>
      </c>
    </row>
    <row r="85" spans="1:12" x14ac:dyDescent="0.3">
      <c r="A85">
        <v>4.08</v>
      </c>
      <c r="B85">
        <v>66</v>
      </c>
      <c r="C85">
        <v>25</v>
      </c>
      <c r="D85">
        <v>65.63</v>
      </c>
      <c r="E85">
        <v>25.06</v>
      </c>
      <c r="F85">
        <v>-0.56100000000000005</v>
      </c>
      <c r="G85">
        <v>0.24</v>
      </c>
      <c r="H85">
        <v>3.5270497582437619</v>
      </c>
      <c r="I85" s="3">
        <v>3.5464268524500291</v>
      </c>
      <c r="J85" s="3">
        <f t="shared" si="3"/>
        <v>13.077773224263995</v>
      </c>
      <c r="K85" s="3">
        <f t="shared" si="4"/>
        <v>3.5145509487212538</v>
      </c>
      <c r="L85" s="3">
        <f t="shared" si="5"/>
        <v>13.859045374479074</v>
      </c>
    </row>
    <row r="86" spans="1:12" x14ac:dyDescent="0.3">
      <c r="A86">
        <v>3.96</v>
      </c>
      <c r="B86">
        <v>69</v>
      </c>
      <c r="C86">
        <v>24</v>
      </c>
      <c r="D86">
        <v>68.66</v>
      </c>
      <c r="E86">
        <v>24.08</v>
      </c>
      <c r="F86">
        <v>-0.49299999999999999</v>
      </c>
      <c r="G86">
        <v>0.33300000000000002</v>
      </c>
      <c r="H86">
        <v>3.7135423349536918</v>
      </c>
      <c r="I86" s="3">
        <v>3.733943992031302</v>
      </c>
      <c r="J86" s="3">
        <f t="shared" si="3"/>
        <v>5.7084850497145947</v>
      </c>
      <c r="K86" s="3">
        <f t="shared" si="4"/>
        <v>3.7085492891254299</v>
      </c>
      <c r="L86" s="3">
        <f t="shared" si="5"/>
        <v>6.3497654261255061</v>
      </c>
    </row>
    <row r="87" spans="1:12" x14ac:dyDescent="0.3">
      <c r="A87">
        <v>3.93</v>
      </c>
      <c r="B87">
        <v>67</v>
      </c>
      <c r="C87">
        <v>25</v>
      </c>
      <c r="D87">
        <v>67.290000000000006</v>
      </c>
      <c r="E87">
        <v>24.93</v>
      </c>
      <c r="F87">
        <v>0.433</v>
      </c>
      <c r="G87">
        <v>-0.28000000000000003</v>
      </c>
      <c r="H87">
        <v>3.634357056824328</v>
      </c>
      <c r="I87" s="3">
        <v>3.6543236815947018</v>
      </c>
      <c r="J87" s="3">
        <f t="shared" si="3"/>
        <v>7.0146645904656078</v>
      </c>
      <c r="K87" s="3">
        <f t="shared" si="4"/>
        <v>3.6765381283465302</v>
      </c>
      <c r="L87" s="3">
        <f t="shared" si="5"/>
        <v>6.4494114924547068</v>
      </c>
    </row>
    <row r="88" spans="1:12" x14ac:dyDescent="0.3">
      <c r="A88">
        <v>3.97</v>
      </c>
      <c r="B88">
        <v>67</v>
      </c>
      <c r="C88">
        <v>25</v>
      </c>
      <c r="D88">
        <v>67.569999999999993</v>
      </c>
      <c r="E88">
        <v>25</v>
      </c>
      <c r="F88">
        <v>0.85099999999999998</v>
      </c>
      <c r="G88">
        <v>0</v>
      </c>
      <c r="H88">
        <v>3.634357056824328</v>
      </c>
      <c r="I88" s="3">
        <v>3.6543236815947018</v>
      </c>
      <c r="J88" s="3">
        <f t="shared" si="3"/>
        <v>7.951544544214066</v>
      </c>
      <c r="K88" s="3">
        <f t="shared" si="4"/>
        <v>3.716541355956485</v>
      </c>
      <c r="L88" s="3">
        <f t="shared" si="5"/>
        <v>6.3843487164613384</v>
      </c>
    </row>
    <row r="89" spans="1:12" x14ac:dyDescent="0.3">
      <c r="A89">
        <v>3.63</v>
      </c>
      <c r="B89">
        <v>68</v>
      </c>
      <c r="C89">
        <v>25</v>
      </c>
      <c r="D89">
        <v>67.349999999999994</v>
      </c>
      <c r="E89">
        <v>24.91</v>
      </c>
      <c r="F89">
        <v>-0.95599999999999996</v>
      </c>
      <c r="G89">
        <v>-0.36</v>
      </c>
      <c r="H89">
        <v>3.7432666166604012</v>
      </c>
      <c r="I89" s="3">
        <v>3.7638315745832851</v>
      </c>
      <c r="J89" s="3">
        <f t="shared" si="3"/>
        <v>3.686820236454138</v>
      </c>
      <c r="K89" s="3">
        <f t="shared" si="4"/>
        <v>3.6803914324087708</v>
      </c>
      <c r="L89" s="3">
        <f t="shared" si="5"/>
        <v>1.3881937302691698</v>
      </c>
    </row>
    <row r="90" spans="1:12" x14ac:dyDescent="0.3">
      <c r="A90">
        <v>3.84</v>
      </c>
      <c r="B90">
        <v>68</v>
      </c>
      <c r="C90">
        <v>25</v>
      </c>
      <c r="D90">
        <v>67.650000000000006</v>
      </c>
      <c r="E90">
        <v>25.1</v>
      </c>
      <c r="F90">
        <v>-0.51500000000000001</v>
      </c>
      <c r="G90">
        <v>0.4</v>
      </c>
      <c r="H90">
        <v>3.7432666166604012</v>
      </c>
      <c r="I90" s="3">
        <v>3.7638315745832851</v>
      </c>
      <c r="J90" s="3">
        <f t="shared" si="3"/>
        <v>1.983552745226947</v>
      </c>
      <c r="K90" s="3">
        <f t="shared" si="4"/>
        <v>3.7388445384593738</v>
      </c>
      <c r="L90" s="3">
        <f t="shared" si="5"/>
        <v>2.6342568109538034</v>
      </c>
    </row>
    <row r="91" spans="1:12" x14ac:dyDescent="0.3">
      <c r="A91">
        <v>3.91</v>
      </c>
      <c r="B91">
        <v>68</v>
      </c>
      <c r="C91">
        <v>25</v>
      </c>
      <c r="D91">
        <v>68.53</v>
      </c>
      <c r="E91">
        <v>25.06</v>
      </c>
      <c r="F91">
        <v>0.77900000000000003</v>
      </c>
      <c r="G91">
        <v>0.24</v>
      </c>
      <c r="H91">
        <v>3.7432666166604012</v>
      </c>
      <c r="I91" s="3">
        <v>3.7638315745832851</v>
      </c>
      <c r="J91" s="3">
        <f t="shared" si="3"/>
        <v>3.738322900683249</v>
      </c>
      <c r="K91" s="3">
        <f t="shared" si="4"/>
        <v>3.8308488140888666</v>
      </c>
      <c r="L91" s="3">
        <f t="shared" si="5"/>
        <v>2.0243270053998357</v>
      </c>
    </row>
    <row r="92" spans="1:12" x14ac:dyDescent="0.3">
      <c r="A92">
        <v>3.73</v>
      </c>
      <c r="B92">
        <v>66</v>
      </c>
      <c r="C92">
        <v>26</v>
      </c>
      <c r="D92">
        <v>66.11</v>
      </c>
      <c r="E92">
        <v>25.97</v>
      </c>
      <c r="F92">
        <v>0.16700000000000001</v>
      </c>
      <c r="G92">
        <v>-0.115</v>
      </c>
      <c r="H92">
        <v>3.6549249046811778</v>
      </c>
      <c r="I92" s="3">
        <v>3.6750045261918478</v>
      </c>
      <c r="J92" s="3">
        <f t="shared" si="3"/>
        <v>1.4744094854732486</v>
      </c>
      <c r="K92" s="3">
        <f t="shared" si="4"/>
        <v>3.6833539450355843</v>
      </c>
      <c r="L92" s="3">
        <f t="shared" si="5"/>
        <v>1.2505644762577923</v>
      </c>
    </row>
    <row r="93" spans="1:12" x14ac:dyDescent="0.3">
      <c r="A93">
        <v>4.49</v>
      </c>
      <c r="B93">
        <v>69</v>
      </c>
      <c r="C93">
        <v>25</v>
      </c>
      <c r="D93">
        <v>69.260000000000005</v>
      </c>
      <c r="E93">
        <v>25.08</v>
      </c>
      <c r="F93">
        <v>0.377</v>
      </c>
      <c r="G93">
        <v>0.32</v>
      </c>
      <c r="H93">
        <v>3.8537782715453748</v>
      </c>
      <c r="I93" s="3">
        <v>3.8749503642960539</v>
      </c>
      <c r="J93" s="3">
        <f t="shared" si="3"/>
        <v>13.698210149308382</v>
      </c>
      <c r="K93" s="3">
        <f t="shared" si="4"/>
        <v>3.9154429893782305</v>
      </c>
      <c r="L93" s="3">
        <f t="shared" si="5"/>
        <v>12.796369947032732</v>
      </c>
    </row>
    <row r="94" spans="1:12" x14ac:dyDescent="0.3">
      <c r="A94">
        <v>3.06</v>
      </c>
      <c r="B94">
        <v>60</v>
      </c>
      <c r="C94">
        <v>29</v>
      </c>
      <c r="D94">
        <v>59.71</v>
      </c>
      <c r="E94">
        <v>29.08</v>
      </c>
      <c r="F94">
        <v>-0.48299999999999998</v>
      </c>
      <c r="G94">
        <v>0.27600000000000002</v>
      </c>
      <c r="H94">
        <v>3.3376913081852191</v>
      </c>
      <c r="I94" s="3">
        <v>3.3560280948321828</v>
      </c>
      <c r="J94" s="3">
        <f t="shared" si="3"/>
        <v>9.6741207461497627</v>
      </c>
      <c r="K94" s="3">
        <f t="shared" si="4"/>
        <v>3.3320983909660598</v>
      </c>
      <c r="L94" s="3">
        <f t="shared" si="5"/>
        <v>8.892104279936591</v>
      </c>
    </row>
    <row r="95" spans="1:12" x14ac:dyDescent="0.3">
      <c r="A95">
        <v>3.79</v>
      </c>
      <c r="B95">
        <v>67</v>
      </c>
      <c r="C95">
        <v>26</v>
      </c>
      <c r="D95">
        <v>66.48</v>
      </c>
      <c r="E95">
        <v>26.07</v>
      </c>
      <c r="F95">
        <v>-0.77600000000000002</v>
      </c>
      <c r="G95">
        <v>0.26900000000000002</v>
      </c>
      <c r="H95">
        <v>3.766122688925496</v>
      </c>
      <c r="I95" s="3">
        <v>3.7868132147580562</v>
      </c>
      <c r="J95" s="3">
        <f t="shared" si="3"/>
        <v>8.4084043323056024E-2</v>
      </c>
      <c r="K95" s="3">
        <f t="shared" si="4"/>
        <v>3.7375737715446062</v>
      </c>
      <c r="L95" s="3">
        <f t="shared" si="5"/>
        <v>1.3832777956568283</v>
      </c>
    </row>
    <row r="96" spans="1:12" x14ac:dyDescent="0.3">
      <c r="A96">
        <v>4.29</v>
      </c>
      <c r="B96">
        <v>67</v>
      </c>
      <c r="C96">
        <v>26</v>
      </c>
      <c r="D96">
        <v>66.98</v>
      </c>
      <c r="E96">
        <v>25.96</v>
      </c>
      <c r="F96">
        <v>-0.03</v>
      </c>
      <c r="G96">
        <v>-0.154</v>
      </c>
      <c r="H96">
        <v>3.766122688925496</v>
      </c>
      <c r="I96" s="3">
        <v>3.7868132147580562</v>
      </c>
      <c r="J96" s="3">
        <f t="shared" si="3"/>
        <v>11.729295693285403</v>
      </c>
      <c r="K96" s="3">
        <f t="shared" si="4"/>
        <v>3.7792688605309914</v>
      </c>
      <c r="L96" s="3">
        <f t="shared" si="5"/>
        <v>11.905154766177358</v>
      </c>
    </row>
    <row r="97" spans="1:12" x14ac:dyDescent="0.3">
      <c r="A97">
        <v>3.11</v>
      </c>
      <c r="B97">
        <v>70</v>
      </c>
      <c r="C97">
        <v>25</v>
      </c>
      <c r="D97">
        <v>70.36</v>
      </c>
      <c r="E97">
        <v>25.05</v>
      </c>
      <c r="F97">
        <v>0.51400000000000001</v>
      </c>
      <c r="G97">
        <v>0.2</v>
      </c>
      <c r="H97">
        <v>3.965891857716151</v>
      </c>
      <c r="I97" s="3">
        <v>3.9876798860702221</v>
      </c>
      <c r="J97" s="3">
        <f t="shared" si="3"/>
        <v>28.22121820161486</v>
      </c>
      <c r="K97" s="3">
        <f t="shared" si="4"/>
        <v>4.0359676498649932</v>
      </c>
      <c r="L97" s="3">
        <f t="shared" si="5"/>
        <v>29.773879416880817</v>
      </c>
    </row>
    <row r="98" spans="1:12" x14ac:dyDescent="0.3">
      <c r="A98">
        <v>3.81</v>
      </c>
      <c r="B98">
        <v>70</v>
      </c>
      <c r="C98">
        <v>25</v>
      </c>
      <c r="D98">
        <v>70.38</v>
      </c>
      <c r="E98">
        <v>25.09</v>
      </c>
      <c r="F98">
        <v>0.54300000000000004</v>
      </c>
      <c r="G98">
        <v>0.36</v>
      </c>
      <c r="H98">
        <v>3.965891857716151</v>
      </c>
      <c r="I98" s="3">
        <v>3.9876798860702221</v>
      </c>
      <c r="J98" s="3">
        <f t="shared" si="3"/>
        <v>4.6635140700845668</v>
      </c>
      <c r="K98" s="3">
        <f t="shared" si="4"/>
        <v>4.0441092686194162</v>
      </c>
      <c r="L98" s="3">
        <f t="shared" si="5"/>
        <v>6.1446002262313959</v>
      </c>
    </row>
    <row r="99" spans="1:12" x14ac:dyDescent="0.3">
      <c r="A99">
        <v>4.3499999999999996</v>
      </c>
      <c r="B99">
        <v>70</v>
      </c>
      <c r="C99">
        <v>25</v>
      </c>
      <c r="D99">
        <v>69.95</v>
      </c>
      <c r="E99">
        <v>25.1</v>
      </c>
      <c r="F99">
        <v>-7.0999999999999994E-2</v>
      </c>
      <c r="G99">
        <v>0.4</v>
      </c>
      <c r="H99">
        <v>3.965891857716151</v>
      </c>
      <c r="I99" s="3">
        <v>3.9876798860702221</v>
      </c>
      <c r="J99" s="3">
        <f t="shared" si="3"/>
        <v>8.3291980213741983</v>
      </c>
      <c r="K99" s="3">
        <f t="shared" si="4"/>
        <v>3.9964609598600958</v>
      </c>
      <c r="L99" s="3">
        <f t="shared" si="5"/>
        <v>8.1273342560897444</v>
      </c>
    </row>
    <row r="100" spans="1:12" x14ac:dyDescent="0.3">
      <c r="A100">
        <v>3.84</v>
      </c>
      <c r="B100">
        <v>72</v>
      </c>
      <c r="C100">
        <v>25</v>
      </c>
      <c r="D100">
        <v>72.69</v>
      </c>
      <c r="E100">
        <v>24.92</v>
      </c>
      <c r="F100">
        <v>0.95799999999999996</v>
      </c>
      <c r="G100">
        <v>-0.32</v>
      </c>
      <c r="H100">
        <v>4.1949241806597604</v>
      </c>
      <c r="I100" s="3">
        <v>4.2179704790134487</v>
      </c>
      <c r="J100" s="3">
        <f t="shared" si="3"/>
        <v>9.8429812243085646</v>
      </c>
      <c r="K100" s="3">
        <f t="shared" si="4"/>
        <v>4.2864168438618977</v>
      </c>
      <c r="L100" s="3">
        <f t="shared" si="5"/>
        <v>11.625438642236924</v>
      </c>
    </row>
    <row r="101" spans="1:12" x14ac:dyDescent="0.3">
      <c r="A101">
        <v>4.03</v>
      </c>
      <c r="B101">
        <v>68</v>
      </c>
      <c r="C101">
        <v>27</v>
      </c>
      <c r="D101">
        <v>67.92</v>
      </c>
      <c r="E101">
        <v>26.98</v>
      </c>
      <c r="F101">
        <v>-0.11799999999999999</v>
      </c>
      <c r="G101">
        <v>-7.3999999999999996E-2</v>
      </c>
      <c r="H101">
        <v>4.0142157226972648</v>
      </c>
      <c r="I101" s="3">
        <v>4.0362692352798906</v>
      </c>
      <c r="J101" s="3">
        <f t="shared" si="3"/>
        <v>0.15556415086576467</v>
      </c>
      <c r="K101" s="3">
        <f t="shared" si="4"/>
        <v>4.0240974811665282</v>
      </c>
      <c r="L101" s="3">
        <f t="shared" si="5"/>
        <v>0.14646448718292895</v>
      </c>
    </row>
    <row r="102" spans="1:12" x14ac:dyDescent="0.3">
      <c r="A102">
        <v>3.86</v>
      </c>
      <c r="B102">
        <v>71</v>
      </c>
      <c r="C102">
        <v>26</v>
      </c>
      <c r="D102">
        <v>71.41</v>
      </c>
      <c r="E102">
        <v>25.97</v>
      </c>
      <c r="F102">
        <v>0.57699999999999996</v>
      </c>
      <c r="G102">
        <v>-0.115</v>
      </c>
      <c r="H102">
        <v>4.2275156374304572</v>
      </c>
      <c r="I102" s="3">
        <v>4.2507409884688112</v>
      </c>
      <c r="J102" s="3">
        <f t="shared" si="3"/>
        <v>10.122823535461434</v>
      </c>
      <c r="K102" s="3">
        <f t="shared" si="4"/>
        <v>4.2952920214656514</v>
      </c>
      <c r="L102" s="3">
        <f t="shared" si="5"/>
        <v>11.276995374757812</v>
      </c>
    </row>
    <row r="103" spans="1:12" x14ac:dyDescent="0.3">
      <c r="A103">
        <v>4.21</v>
      </c>
      <c r="B103">
        <v>69</v>
      </c>
      <c r="C103">
        <v>27</v>
      </c>
      <c r="D103">
        <v>68.599999999999994</v>
      </c>
      <c r="E103">
        <v>26.9</v>
      </c>
      <c r="F103">
        <v>-0.57999999999999996</v>
      </c>
      <c r="G103">
        <v>-0.37</v>
      </c>
      <c r="H103">
        <v>4.1327265497396439</v>
      </c>
      <c r="I103" s="3">
        <v>4.1554311434289932</v>
      </c>
      <c r="J103" s="3">
        <f t="shared" si="3"/>
        <v>1.2961723651070485</v>
      </c>
      <c r="K103" s="3">
        <f t="shared" si="4"/>
        <v>4.0937377205132863</v>
      </c>
      <c r="L103" s="3">
        <f t="shared" si="5"/>
        <v>2.7615743346012742</v>
      </c>
    </row>
    <row r="104" spans="1:12" x14ac:dyDescent="0.3">
      <c r="A104">
        <v>4.55</v>
      </c>
      <c r="B104">
        <v>69</v>
      </c>
      <c r="C104">
        <v>27</v>
      </c>
      <c r="D104">
        <v>68.38</v>
      </c>
      <c r="E104">
        <v>26.93</v>
      </c>
      <c r="F104">
        <v>-0.89900000000000002</v>
      </c>
      <c r="G104">
        <v>-0.25900000000000001</v>
      </c>
      <c r="H104">
        <v>4.1327265497396439</v>
      </c>
      <c r="I104" s="3">
        <v>4.1554311434289932</v>
      </c>
      <c r="J104" s="3">
        <f t="shared" si="3"/>
        <v>8.6718430015605854</v>
      </c>
      <c r="K104" s="3">
        <f t="shared" si="4"/>
        <v>4.0717330736086712</v>
      </c>
      <c r="L104" s="3">
        <f t="shared" si="5"/>
        <v>10.511361019589641</v>
      </c>
    </row>
    <row r="105" spans="1:12" x14ac:dyDescent="0.3">
      <c r="A105">
        <v>4.13</v>
      </c>
      <c r="B105">
        <v>72</v>
      </c>
      <c r="C105">
        <v>26</v>
      </c>
      <c r="D105">
        <v>72.37</v>
      </c>
      <c r="E105">
        <v>25.92</v>
      </c>
      <c r="F105">
        <v>0.51400000000000001</v>
      </c>
      <c r="G105">
        <v>-0.308</v>
      </c>
      <c r="H105">
        <v>4.3470134849407476</v>
      </c>
      <c r="I105" s="3">
        <v>4.3708953396315504</v>
      </c>
      <c r="J105" s="3">
        <f t="shared" si="3"/>
        <v>5.8328169402312477</v>
      </c>
      <c r="K105" s="3">
        <f t="shared" si="4"/>
        <v>4.4034308824453028</v>
      </c>
      <c r="L105" s="3">
        <f t="shared" si="5"/>
        <v>6.6206024805158084</v>
      </c>
    </row>
    <row r="106" spans="1:12" x14ac:dyDescent="0.3">
      <c r="A106">
        <v>4.1399999999999997</v>
      </c>
      <c r="B106">
        <v>67</v>
      </c>
      <c r="C106">
        <v>28</v>
      </c>
      <c r="D106">
        <v>66.75</v>
      </c>
      <c r="E106">
        <v>27.91</v>
      </c>
      <c r="F106">
        <v>-0.373</v>
      </c>
      <c r="G106">
        <v>-0.32100000000000001</v>
      </c>
      <c r="H106">
        <v>4.0282766533892991</v>
      </c>
      <c r="I106" s="3">
        <v>4.0504074146634172</v>
      </c>
      <c r="J106" s="3">
        <f t="shared" si="3"/>
        <v>2.1640721095792856</v>
      </c>
      <c r="K106" s="3">
        <f t="shared" si="4"/>
        <v>4.0086014434030286</v>
      </c>
      <c r="L106" s="3">
        <f t="shared" si="5"/>
        <v>3.1738781786707992</v>
      </c>
    </row>
    <row r="107" spans="1:12" x14ac:dyDescent="0.3">
      <c r="A107">
        <v>4</v>
      </c>
      <c r="B107">
        <v>70</v>
      </c>
      <c r="C107">
        <v>27</v>
      </c>
      <c r="D107">
        <v>70.33</v>
      </c>
      <c r="E107">
        <v>26.93</v>
      </c>
      <c r="F107">
        <v>0.47099999999999997</v>
      </c>
      <c r="G107">
        <v>-0.25900000000000001</v>
      </c>
      <c r="H107">
        <v>4.2529552607621639</v>
      </c>
      <c r="I107" s="3">
        <v>4.2763203733609334</v>
      </c>
      <c r="J107" s="3">
        <f t="shared" si="3"/>
        <v>6.9080093340233351</v>
      </c>
      <c r="K107" s="3">
        <f t="shared" si="4"/>
        <v>4.3064244892135521</v>
      </c>
      <c r="L107" s="3">
        <f t="shared" si="5"/>
        <v>7.6606122303388036</v>
      </c>
    </row>
    <row r="108" spans="1:12" x14ac:dyDescent="0.3">
      <c r="A108">
        <v>4</v>
      </c>
      <c r="B108">
        <v>70</v>
      </c>
      <c r="C108">
        <v>27</v>
      </c>
      <c r="D108">
        <v>69.87</v>
      </c>
      <c r="E108">
        <v>27.01</v>
      </c>
      <c r="F108">
        <v>-0.186</v>
      </c>
      <c r="G108">
        <v>3.6999999999999998E-2</v>
      </c>
      <c r="H108">
        <v>4.2529552607621639</v>
      </c>
      <c r="I108" s="3">
        <v>4.2763203733609334</v>
      </c>
      <c r="J108" s="3">
        <f t="shared" si="3"/>
        <v>6.9080093340233351</v>
      </c>
      <c r="K108" s="3">
        <f t="shared" si="4"/>
        <v>4.2619348013656095</v>
      </c>
      <c r="L108" s="3">
        <f t="shared" si="5"/>
        <v>6.5483700341402384</v>
      </c>
    </row>
    <row r="109" spans="1:12" x14ac:dyDescent="0.3">
      <c r="A109">
        <v>4.1399999999999997</v>
      </c>
      <c r="B109">
        <v>73</v>
      </c>
      <c r="C109">
        <v>26</v>
      </c>
      <c r="D109">
        <v>72.33</v>
      </c>
      <c r="E109">
        <v>25.98</v>
      </c>
      <c r="F109">
        <v>-0.91800000000000004</v>
      </c>
      <c r="G109">
        <v>-7.6999999999999999E-2</v>
      </c>
      <c r="H109">
        <v>4.4681708480200548</v>
      </c>
      <c r="I109" s="3">
        <v>4.4927183234985097</v>
      </c>
      <c r="J109" s="3">
        <f t="shared" si="3"/>
        <v>8.5197662680799535</v>
      </c>
      <c r="K109" s="3">
        <f t="shared" si="4"/>
        <v>4.4078261087714452</v>
      </c>
      <c r="L109" s="3">
        <f t="shared" si="5"/>
        <v>6.4692296804696987</v>
      </c>
    </row>
    <row r="110" spans="1:12" x14ac:dyDescent="0.3">
      <c r="A110">
        <v>4.38</v>
      </c>
      <c r="B110">
        <v>71</v>
      </c>
      <c r="C110">
        <v>27</v>
      </c>
      <c r="D110">
        <v>71.16</v>
      </c>
      <c r="E110">
        <v>27.08</v>
      </c>
      <c r="F110">
        <v>0.22500000000000001</v>
      </c>
      <c r="G110">
        <v>0.29599999999999999</v>
      </c>
      <c r="H110">
        <v>4.3749016826927214</v>
      </c>
      <c r="I110" s="3">
        <v>4.3989367510527728</v>
      </c>
      <c r="J110" s="3">
        <f t="shared" si="3"/>
        <v>0.43234591444687054</v>
      </c>
      <c r="K110" s="3">
        <f t="shared" si="4"/>
        <v>4.4305971304097795</v>
      </c>
      <c r="L110" s="3">
        <f t="shared" si="5"/>
        <v>1.1551856257940558</v>
      </c>
    </row>
    <row r="111" spans="1:12" x14ac:dyDescent="0.3">
      <c r="A111">
        <v>4.4800000000000004</v>
      </c>
      <c r="B111">
        <v>71</v>
      </c>
      <c r="C111">
        <v>27</v>
      </c>
      <c r="D111">
        <v>71.22</v>
      </c>
      <c r="E111">
        <v>26.91</v>
      </c>
      <c r="F111">
        <v>0.31</v>
      </c>
      <c r="G111">
        <v>-0.33300000000000002</v>
      </c>
      <c r="H111">
        <v>4.3749016826927214</v>
      </c>
      <c r="I111" s="3">
        <v>4.3989367510527728</v>
      </c>
      <c r="J111" s="3">
        <f t="shared" si="3"/>
        <v>1.8094475211434733</v>
      </c>
      <c r="K111" s="3">
        <f t="shared" si="4"/>
        <v>4.4127397755490811</v>
      </c>
      <c r="L111" s="3">
        <f t="shared" si="5"/>
        <v>1.5013442957794481</v>
      </c>
    </row>
    <row r="112" spans="1:12" x14ac:dyDescent="0.3">
      <c r="A112">
        <v>4.57</v>
      </c>
      <c r="B112">
        <v>74</v>
      </c>
      <c r="C112">
        <v>26</v>
      </c>
      <c r="D112">
        <v>74.430000000000007</v>
      </c>
      <c r="E112">
        <v>25.94</v>
      </c>
      <c r="F112">
        <v>0.58099999999999996</v>
      </c>
      <c r="G112">
        <v>-0.23100000000000001</v>
      </c>
      <c r="H112">
        <v>4.5909875663953521</v>
      </c>
      <c r="I112" s="3">
        <v>4.6162097789161463</v>
      </c>
      <c r="J112" s="3">
        <f t="shared" si="3"/>
        <v>1.0111548996968482</v>
      </c>
      <c r="K112" s="3">
        <f t="shared" si="4"/>
        <v>4.6600319549523572</v>
      </c>
      <c r="L112" s="3">
        <f t="shared" si="5"/>
        <v>1.9700646597889921</v>
      </c>
    </row>
    <row r="113" spans="1:12" x14ac:dyDescent="0.3">
      <c r="A113">
        <v>4.6399999999999997</v>
      </c>
      <c r="B113">
        <v>72</v>
      </c>
      <c r="C113">
        <v>27</v>
      </c>
      <c r="D113">
        <v>72.62</v>
      </c>
      <c r="E113">
        <v>26.91</v>
      </c>
      <c r="F113">
        <v>0.86099999999999999</v>
      </c>
      <c r="G113">
        <v>-0.33300000000000002</v>
      </c>
      <c r="H113">
        <v>4.4985656449314728</v>
      </c>
      <c r="I113" s="3">
        <v>4.5232801049674194</v>
      </c>
      <c r="J113" s="3">
        <f t="shared" si="3"/>
        <v>2.5155149791504372</v>
      </c>
      <c r="K113" s="3">
        <f t="shared" si="4"/>
        <v>4.5873055766625921</v>
      </c>
      <c r="L113" s="3">
        <f t="shared" si="5"/>
        <v>1.1356556753751639</v>
      </c>
    </row>
    <row r="114" spans="1:12" x14ac:dyDescent="0.3">
      <c r="A114">
        <v>4.66</v>
      </c>
      <c r="B114">
        <v>75</v>
      </c>
      <c r="C114">
        <v>26</v>
      </c>
      <c r="D114">
        <v>75.010000000000005</v>
      </c>
      <c r="E114">
        <v>26.03</v>
      </c>
      <c r="F114">
        <v>1.2999999999999999E-2</v>
      </c>
      <c r="G114">
        <v>0.115</v>
      </c>
      <c r="H114">
        <v>4.7154634819895733</v>
      </c>
      <c r="I114" s="3">
        <v>4.7413695469389427</v>
      </c>
      <c r="J114" s="3">
        <f t="shared" si="3"/>
        <v>1.7461276167155066</v>
      </c>
      <c r="K114" s="3">
        <f t="shared" si="4"/>
        <v>4.7475926178885874</v>
      </c>
      <c r="L114" s="3">
        <f t="shared" si="5"/>
        <v>1.8796699117722595</v>
      </c>
    </row>
    <row r="115" spans="1:12" x14ac:dyDescent="0.3">
      <c r="A115">
        <v>4.3099999999999996</v>
      </c>
      <c r="B115">
        <v>73</v>
      </c>
      <c r="C115">
        <v>27</v>
      </c>
      <c r="D115">
        <v>73.16</v>
      </c>
      <c r="E115">
        <v>26.94</v>
      </c>
      <c r="F115">
        <v>0.219</v>
      </c>
      <c r="G115">
        <v>-0.222</v>
      </c>
      <c r="H115">
        <v>4.6239469792814143</v>
      </c>
      <c r="I115" s="3">
        <v>4.64935026598382</v>
      </c>
      <c r="J115" s="3">
        <f t="shared" si="3"/>
        <v>7.8735560553090567</v>
      </c>
      <c r="K115" s="3">
        <f t="shared" si="4"/>
        <v>4.6602524043443134</v>
      </c>
      <c r="L115" s="3">
        <f t="shared" si="5"/>
        <v>8.1265059012601828</v>
      </c>
    </row>
    <row r="116" spans="1:12" x14ac:dyDescent="0.3">
      <c r="A116">
        <v>4.76</v>
      </c>
      <c r="B116">
        <v>73</v>
      </c>
      <c r="C116">
        <v>27</v>
      </c>
      <c r="D116">
        <v>73.55</v>
      </c>
      <c r="E116">
        <v>26.99</v>
      </c>
      <c r="F116">
        <v>0.753</v>
      </c>
      <c r="G116">
        <v>-3.6999999999999998E-2</v>
      </c>
      <c r="H116">
        <v>4.6239469792814143</v>
      </c>
      <c r="I116" s="3">
        <v>4.64935026598382</v>
      </c>
      <c r="J116" s="3">
        <f t="shared" si="3"/>
        <v>2.3245742440373913</v>
      </c>
      <c r="K116" s="3">
        <f t="shared" si="4"/>
        <v>4.7178319438207428</v>
      </c>
      <c r="L116" s="3">
        <f t="shared" si="5"/>
        <v>0.88588353317766833</v>
      </c>
    </row>
    <row r="117" spans="1:12" x14ac:dyDescent="0.3">
      <c r="A117">
        <v>4.97</v>
      </c>
      <c r="B117">
        <v>73</v>
      </c>
      <c r="C117">
        <v>27</v>
      </c>
      <c r="D117">
        <v>73.540000000000006</v>
      </c>
      <c r="E117">
        <v>26.89</v>
      </c>
      <c r="F117">
        <v>0.74</v>
      </c>
      <c r="G117">
        <v>-0.40699999999999997</v>
      </c>
      <c r="H117">
        <v>4.6239469792814143</v>
      </c>
      <c r="I117" s="3">
        <v>4.64935026598382</v>
      </c>
      <c r="J117" s="3">
        <f t="shared" si="3"/>
        <v>6.4517049097822898</v>
      </c>
      <c r="K117" s="3">
        <f t="shared" si="4"/>
        <v>4.7006828397194251</v>
      </c>
      <c r="L117" s="3">
        <f t="shared" si="5"/>
        <v>5.418856343673534</v>
      </c>
    </row>
    <row r="118" spans="1:12" x14ac:dyDescent="0.3">
      <c r="A118">
        <v>4.5599999999999996</v>
      </c>
      <c r="B118">
        <v>71</v>
      </c>
      <c r="C118">
        <v>28</v>
      </c>
      <c r="D118">
        <v>71.61</v>
      </c>
      <c r="E118">
        <v>28.09</v>
      </c>
      <c r="F118">
        <v>0.85899999999999999</v>
      </c>
      <c r="G118">
        <v>0.32100000000000001</v>
      </c>
      <c r="H118">
        <v>4.5217864500739271</v>
      </c>
      <c r="I118" s="3">
        <v>4.5466284818084981</v>
      </c>
      <c r="J118" s="3">
        <f t="shared" si="3"/>
        <v>0.29323504805924361</v>
      </c>
      <c r="K118" s="3">
        <f t="shared" si="4"/>
        <v>4.638302974606515</v>
      </c>
      <c r="L118" s="3">
        <f t="shared" si="5"/>
        <v>1.7171704957569158</v>
      </c>
    </row>
    <row r="119" spans="1:12" x14ac:dyDescent="0.3">
      <c r="A119">
        <v>5</v>
      </c>
      <c r="B119">
        <v>75</v>
      </c>
      <c r="C119">
        <v>27</v>
      </c>
      <c r="D119">
        <v>75.319999999999993</v>
      </c>
      <c r="E119">
        <v>26.99</v>
      </c>
      <c r="F119">
        <v>0.42699999999999999</v>
      </c>
      <c r="G119">
        <v>-3.6999999999999998E-2</v>
      </c>
      <c r="H119">
        <v>4.8798611031445587</v>
      </c>
      <c r="I119" s="3">
        <v>4.9066703445191999</v>
      </c>
      <c r="J119" s="3">
        <f t="shared" si="3"/>
        <v>1.8665931096160013</v>
      </c>
      <c r="K119" s="3">
        <f t="shared" si="4"/>
        <v>4.9468121759427293</v>
      </c>
      <c r="L119" s="3">
        <f t="shared" si="5"/>
        <v>1.0637564811454148</v>
      </c>
    </row>
    <row r="120" spans="1:12" x14ac:dyDescent="0.3">
      <c r="A120">
        <v>5.21</v>
      </c>
      <c r="B120">
        <v>75</v>
      </c>
      <c r="C120">
        <v>27</v>
      </c>
      <c r="D120">
        <v>74.81</v>
      </c>
      <c r="E120">
        <v>26.96</v>
      </c>
      <c r="F120">
        <v>-0.253</v>
      </c>
      <c r="G120">
        <v>-0.14799999999999999</v>
      </c>
      <c r="H120">
        <v>4.8798611031445587</v>
      </c>
      <c r="I120" s="3">
        <v>4.9066703445191999</v>
      </c>
      <c r="J120" s="3">
        <f t="shared" si="3"/>
        <v>5.822066324007678</v>
      </c>
      <c r="K120" s="3">
        <f t="shared" si="4"/>
        <v>4.8753543942531614</v>
      </c>
      <c r="L120" s="3">
        <f t="shared" si="5"/>
        <v>6.4231402254671517</v>
      </c>
    </row>
    <row r="121" spans="1:12" x14ac:dyDescent="0.3">
      <c r="A121">
        <v>5.24</v>
      </c>
      <c r="B121">
        <v>75</v>
      </c>
      <c r="C121">
        <v>27</v>
      </c>
      <c r="D121">
        <v>74.81</v>
      </c>
      <c r="E121">
        <v>26.93</v>
      </c>
      <c r="F121">
        <v>-0.253</v>
      </c>
      <c r="G121">
        <v>-0.25900000000000001</v>
      </c>
      <c r="H121">
        <v>4.8798611031445587</v>
      </c>
      <c r="I121" s="3">
        <v>4.9066703445191999</v>
      </c>
      <c r="J121" s="3">
        <f t="shared" si="3"/>
        <v>6.3612529671908451</v>
      </c>
      <c r="K121" s="3">
        <f t="shared" si="4"/>
        <v>4.8704279635737926</v>
      </c>
      <c r="L121" s="3">
        <f t="shared" si="5"/>
        <v>7.0529014585154117</v>
      </c>
    </row>
    <row r="122" spans="1:12" x14ac:dyDescent="0.3">
      <c r="A122">
        <v>4.82</v>
      </c>
      <c r="B122">
        <v>78</v>
      </c>
      <c r="C122">
        <v>26</v>
      </c>
      <c r="D122">
        <v>78.23</v>
      </c>
      <c r="E122">
        <v>26.04</v>
      </c>
      <c r="F122">
        <v>0.29499999999999998</v>
      </c>
      <c r="G122">
        <v>0.154</v>
      </c>
      <c r="H122">
        <v>5.0988448630284378</v>
      </c>
      <c r="I122" s="3">
        <v>5.126857169070651</v>
      </c>
      <c r="J122" s="3">
        <f t="shared" si="3"/>
        <v>6.3663313085197251</v>
      </c>
      <c r="K122" s="3">
        <f t="shared" si="4"/>
        <v>5.1642282694620931</v>
      </c>
      <c r="L122" s="3">
        <f t="shared" si="5"/>
        <v>7.1416653415371956</v>
      </c>
    </row>
    <row r="123" spans="1:12" x14ac:dyDescent="0.3">
      <c r="A123">
        <v>4.57</v>
      </c>
      <c r="B123">
        <v>70</v>
      </c>
      <c r="C123">
        <v>29</v>
      </c>
      <c r="D123">
        <v>69.33</v>
      </c>
      <c r="E123">
        <v>29.05</v>
      </c>
      <c r="F123">
        <v>-0.95699999999999996</v>
      </c>
      <c r="G123">
        <v>0.17199999999999999</v>
      </c>
      <c r="H123">
        <v>4.5380679119292786</v>
      </c>
      <c r="I123" s="3">
        <v>4.562999391627959</v>
      </c>
      <c r="J123" s="3">
        <f t="shared" si="3"/>
        <v>0.15318617881928459</v>
      </c>
      <c r="K123" s="3">
        <f t="shared" si="4"/>
        <v>4.4833721066975922</v>
      </c>
      <c r="L123" s="3">
        <f t="shared" si="5"/>
        <v>1.8955775339695415</v>
      </c>
    </row>
    <row r="124" spans="1:12" x14ac:dyDescent="0.3">
      <c r="A124">
        <v>4.49</v>
      </c>
      <c r="B124">
        <v>73</v>
      </c>
      <c r="C124">
        <v>28</v>
      </c>
      <c r="D124">
        <v>72.88</v>
      </c>
      <c r="E124">
        <v>28.06</v>
      </c>
      <c r="F124">
        <v>-0.16400000000000001</v>
      </c>
      <c r="G124">
        <v>0.214</v>
      </c>
      <c r="H124">
        <v>4.7791932969579163</v>
      </c>
      <c r="I124" s="3">
        <v>4.8054494841661226</v>
      </c>
      <c r="J124" s="3">
        <f t="shared" si="3"/>
        <v>7.025600983655286</v>
      </c>
      <c r="K124" s="3">
        <f t="shared" si="4"/>
        <v>4.7990319544507836</v>
      </c>
      <c r="L124" s="3">
        <f t="shared" si="5"/>
        <v>6.8826715913314764</v>
      </c>
    </row>
    <row r="125" spans="1:12" x14ac:dyDescent="0.3">
      <c r="A125">
        <v>4.75</v>
      </c>
      <c r="B125">
        <v>73</v>
      </c>
      <c r="C125">
        <v>28</v>
      </c>
      <c r="D125">
        <v>73.36</v>
      </c>
      <c r="E125">
        <v>27.94</v>
      </c>
      <c r="F125">
        <v>0.49299999999999999</v>
      </c>
      <c r="G125">
        <v>-0.214</v>
      </c>
      <c r="H125">
        <v>4.7791932969579163</v>
      </c>
      <c r="I125" s="3">
        <v>4.8054494841661226</v>
      </c>
      <c r="J125" s="3">
        <f t="shared" si="3"/>
        <v>1.167357561392055</v>
      </c>
      <c r="K125" s="3">
        <f t="shared" si="4"/>
        <v>4.8433460849519854</v>
      </c>
      <c r="L125" s="3">
        <f t="shared" si="5"/>
        <v>1.965180735831271</v>
      </c>
    </row>
    <row r="126" spans="1:12" x14ac:dyDescent="0.3">
      <c r="A126">
        <v>5.43</v>
      </c>
      <c r="B126">
        <v>75</v>
      </c>
      <c r="C126">
        <v>28</v>
      </c>
      <c r="D126">
        <v>75.58</v>
      </c>
      <c r="E126">
        <v>28.08</v>
      </c>
      <c r="F126">
        <v>0.77300000000000002</v>
      </c>
      <c r="G126">
        <v>0.28599999999999998</v>
      </c>
      <c r="H126">
        <v>5.0436995879780762</v>
      </c>
      <c r="I126" s="3">
        <v>5.0714089339650243</v>
      </c>
      <c r="J126" s="3">
        <f t="shared" si="3"/>
        <v>6.603887035634906</v>
      </c>
      <c r="K126" s="3">
        <f t="shared" si="4"/>
        <v>5.1632249547400306</v>
      </c>
      <c r="L126" s="3">
        <f t="shared" si="5"/>
        <v>4.9129842589312913</v>
      </c>
    </row>
    <row r="127" spans="1:12" x14ac:dyDescent="0.3">
      <c r="A127">
        <v>5.71</v>
      </c>
      <c r="B127">
        <v>75</v>
      </c>
      <c r="C127">
        <v>28</v>
      </c>
      <c r="D127">
        <v>74.569999999999993</v>
      </c>
      <c r="E127">
        <v>27.98</v>
      </c>
      <c r="F127">
        <v>-0.57299999999999995</v>
      </c>
      <c r="G127">
        <v>-7.0999999999999994E-2</v>
      </c>
      <c r="H127">
        <v>5.0436995879780762</v>
      </c>
      <c r="I127" s="3">
        <v>5.0714089339650243</v>
      </c>
      <c r="J127" s="3">
        <f t="shared" si="3"/>
        <v>11.183731454202725</v>
      </c>
      <c r="K127" s="3">
        <f t="shared" si="4"/>
        <v>5.0103673156819628</v>
      </c>
      <c r="L127" s="3">
        <f t="shared" si="5"/>
        <v>12.252761546725695</v>
      </c>
    </row>
    <row r="128" spans="1:12" x14ac:dyDescent="0.3">
      <c r="A128">
        <v>4.47</v>
      </c>
      <c r="B128">
        <v>73</v>
      </c>
      <c r="C128">
        <v>29</v>
      </c>
      <c r="D128">
        <v>72.47</v>
      </c>
      <c r="E128">
        <v>28.9</v>
      </c>
      <c r="F128">
        <v>-0.72599999999999998</v>
      </c>
      <c r="G128">
        <v>-0.34499999999999997</v>
      </c>
      <c r="H128">
        <v>4.9339304381440501</v>
      </c>
      <c r="I128" s="3">
        <v>4.9610367285170804</v>
      </c>
      <c r="J128" s="3">
        <f t="shared" si="3"/>
        <v>10.985161711791514</v>
      </c>
      <c r="K128" s="3">
        <f t="shared" si="4"/>
        <v>4.8741925354186568</v>
      </c>
      <c r="L128" s="3">
        <f t="shared" si="5"/>
        <v>9.0423385999699573</v>
      </c>
    </row>
    <row r="129" spans="1:12" x14ac:dyDescent="0.3">
      <c r="A129">
        <v>5</v>
      </c>
      <c r="B129">
        <v>73</v>
      </c>
      <c r="C129">
        <v>29</v>
      </c>
      <c r="D129">
        <v>72.900000000000006</v>
      </c>
      <c r="E129">
        <v>29.12</v>
      </c>
      <c r="F129">
        <v>-0.13700000000000001</v>
      </c>
      <c r="G129">
        <v>0.41399999999999998</v>
      </c>
      <c r="H129">
        <v>4.9339304381440501</v>
      </c>
      <c r="I129" s="3">
        <v>4.9610367285170804</v>
      </c>
      <c r="J129" s="3">
        <f t="shared" si="3"/>
        <v>0.77926542965839118</v>
      </c>
      <c r="K129" s="3">
        <f t="shared" si="4"/>
        <v>4.9660817310519416</v>
      </c>
      <c r="L129" s="3">
        <f t="shared" si="5"/>
        <v>0.67836537896116766</v>
      </c>
    </row>
    <row r="130" spans="1:12" x14ac:dyDescent="0.3">
      <c r="A130">
        <v>5.56</v>
      </c>
      <c r="B130">
        <v>77</v>
      </c>
      <c r="C130">
        <v>28</v>
      </c>
      <c r="D130">
        <v>77.16</v>
      </c>
      <c r="E130">
        <v>27.92</v>
      </c>
      <c r="F130">
        <v>0.20799999999999999</v>
      </c>
      <c r="G130">
        <v>-0.28599999999999998</v>
      </c>
      <c r="H130">
        <v>5.3153039795079913</v>
      </c>
      <c r="I130" s="3">
        <v>5.3445054801970979</v>
      </c>
      <c r="J130" s="3">
        <f t="shared" si="3"/>
        <v>3.8758007158795271</v>
      </c>
      <c r="K130" s="3">
        <f t="shared" si="4"/>
        <v>5.3527299531010879</v>
      </c>
      <c r="L130" s="3">
        <f t="shared" si="5"/>
        <v>3.7278785413473332</v>
      </c>
    </row>
    <row r="131" spans="1:12" x14ac:dyDescent="0.3">
      <c r="A131">
        <v>5.46</v>
      </c>
      <c r="B131">
        <v>75</v>
      </c>
      <c r="C131">
        <v>29</v>
      </c>
      <c r="D131">
        <v>75.5</v>
      </c>
      <c r="E131">
        <v>29.02</v>
      </c>
      <c r="F131">
        <v>0.66700000000000004</v>
      </c>
      <c r="G131">
        <v>6.9000000000000006E-2</v>
      </c>
      <c r="H131">
        <v>5.2070007157525451</v>
      </c>
      <c r="I131" s="3">
        <v>5.2356072141909094</v>
      </c>
      <c r="J131" s="3">
        <f t="shared" ref="J131:J194" si="6">(ABS(I131-A131)/A131)*100</f>
        <v>4.1097579818514767</v>
      </c>
      <c r="K131" s="3">
        <f t="shared" ref="K131:K194" si="7">EXP(-10.012365)*(D131^1.992998)*(E131^0.908035)*1.005494</f>
        <v>5.3087169808006029</v>
      </c>
      <c r="L131" s="3">
        <f t="shared" ref="L131:L194" si="8">((ABS(K131-A131))/A131)*100</f>
        <v>2.7707512673882237</v>
      </c>
    </row>
    <row r="132" spans="1:12" x14ac:dyDescent="0.3">
      <c r="A132">
        <v>5.31</v>
      </c>
      <c r="B132">
        <v>78</v>
      </c>
      <c r="C132">
        <v>28</v>
      </c>
      <c r="D132">
        <v>77.67</v>
      </c>
      <c r="E132">
        <v>27.9</v>
      </c>
      <c r="F132">
        <v>-0.42299999999999999</v>
      </c>
      <c r="G132">
        <v>-0.35699999999999998</v>
      </c>
      <c r="H132">
        <v>5.4537675528705378</v>
      </c>
      <c r="I132" s="3">
        <v>5.4837297521290118</v>
      </c>
      <c r="J132" s="3">
        <f t="shared" si="6"/>
        <v>3.2717467444258421</v>
      </c>
      <c r="K132" s="3">
        <f t="shared" si="7"/>
        <v>5.4199450377819414</v>
      </c>
      <c r="L132" s="3">
        <f t="shared" si="8"/>
        <v>2.0705280184923116</v>
      </c>
    </row>
    <row r="133" spans="1:12" x14ac:dyDescent="0.3">
      <c r="A133">
        <v>5.58</v>
      </c>
      <c r="B133">
        <v>71</v>
      </c>
      <c r="C133">
        <v>31</v>
      </c>
      <c r="D133">
        <v>71.64</v>
      </c>
      <c r="E133">
        <v>30.99</v>
      </c>
      <c r="F133">
        <v>0.90100000000000002</v>
      </c>
      <c r="G133">
        <v>-3.2000000000000001E-2</v>
      </c>
      <c r="H133">
        <v>4.9596214500072104</v>
      </c>
      <c r="I133" s="3">
        <v>4.9868688830323853</v>
      </c>
      <c r="J133" s="3">
        <f t="shared" si="6"/>
        <v>10.629589909813884</v>
      </c>
      <c r="K133" s="3">
        <f t="shared" si="7"/>
        <v>5.075365837435128</v>
      </c>
      <c r="L133" s="3">
        <f t="shared" si="8"/>
        <v>9.043622985033549</v>
      </c>
    </row>
    <row r="134" spans="1:12" x14ac:dyDescent="0.3">
      <c r="A134">
        <v>4.95</v>
      </c>
      <c r="B134">
        <v>76</v>
      </c>
      <c r="C134">
        <v>29</v>
      </c>
      <c r="D134">
        <v>76.17</v>
      </c>
      <c r="E134">
        <v>29.06</v>
      </c>
      <c r="F134">
        <v>0.224</v>
      </c>
      <c r="G134">
        <v>0.20699999999999999</v>
      </c>
      <c r="H134">
        <v>5.3462839088526612</v>
      </c>
      <c r="I134" s="3">
        <v>5.3756556087310514</v>
      </c>
      <c r="J134" s="3">
        <f t="shared" si="6"/>
        <v>8.5991032066879036</v>
      </c>
      <c r="K134" s="3">
        <f t="shared" si="7"/>
        <v>5.4097837152463324</v>
      </c>
      <c r="L134" s="3">
        <f t="shared" si="8"/>
        <v>9.2885599039663056</v>
      </c>
    </row>
    <row r="135" spans="1:12" x14ac:dyDescent="0.3">
      <c r="A135">
        <v>5.19</v>
      </c>
      <c r="B135">
        <v>79</v>
      </c>
      <c r="C135">
        <v>28</v>
      </c>
      <c r="D135">
        <v>78.87</v>
      </c>
      <c r="E135">
        <v>27.91</v>
      </c>
      <c r="F135">
        <v>-0.16500000000000001</v>
      </c>
      <c r="G135">
        <v>-0.32100000000000001</v>
      </c>
      <c r="H135">
        <v>5.5940051635366173</v>
      </c>
      <c r="I135" s="3">
        <v>5.6247378076652792</v>
      </c>
      <c r="J135" s="3">
        <f t="shared" si="6"/>
        <v>8.3764510147452569</v>
      </c>
      <c r="K135" s="3">
        <f t="shared" si="7"/>
        <v>5.589933626085628</v>
      </c>
      <c r="L135" s="3">
        <f t="shared" si="8"/>
        <v>7.7058502135959079</v>
      </c>
    </row>
    <row r="136" spans="1:12" x14ac:dyDescent="0.3">
      <c r="A136">
        <v>5.23</v>
      </c>
      <c r="B136">
        <v>79</v>
      </c>
      <c r="C136">
        <v>28</v>
      </c>
      <c r="D136">
        <v>79.319999999999993</v>
      </c>
      <c r="E136">
        <v>28.02</v>
      </c>
      <c r="F136">
        <v>0.40500000000000003</v>
      </c>
      <c r="G136">
        <v>7.0999999999999994E-2</v>
      </c>
      <c r="H136">
        <v>5.5940051635366173</v>
      </c>
      <c r="I136" s="3">
        <v>5.6247378076652792</v>
      </c>
      <c r="J136" s="3">
        <f t="shared" si="6"/>
        <v>7.547568024192711</v>
      </c>
      <c r="K136" s="3">
        <f t="shared" si="7"/>
        <v>5.6739077536340545</v>
      </c>
      <c r="L136" s="3">
        <f t="shared" si="8"/>
        <v>8.4877199547620279</v>
      </c>
    </row>
    <row r="137" spans="1:12" x14ac:dyDescent="0.3">
      <c r="A137">
        <v>5.32</v>
      </c>
      <c r="B137">
        <v>79</v>
      </c>
      <c r="C137">
        <v>28</v>
      </c>
      <c r="D137">
        <v>79.489999999999995</v>
      </c>
      <c r="E137">
        <v>27.93</v>
      </c>
      <c r="F137">
        <v>0.62</v>
      </c>
      <c r="G137">
        <v>-0.25</v>
      </c>
      <c r="H137">
        <v>5.5940051635366173</v>
      </c>
      <c r="I137" s="3">
        <v>5.6247378076652792</v>
      </c>
      <c r="J137" s="3">
        <f t="shared" si="6"/>
        <v>5.7281542794225357</v>
      </c>
      <c r="K137" s="3">
        <f t="shared" si="7"/>
        <v>5.6815474891307369</v>
      </c>
      <c r="L137" s="3">
        <f t="shared" si="8"/>
        <v>6.7960054347882828</v>
      </c>
    </row>
    <row r="138" spans="1:12" x14ac:dyDescent="0.3">
      <c r="A138">
        <v>5.87</v>
      </c>
      <c r="B138">
        <v>77</v>
      </c>
      <c r="C138">
        <v>29</v>
      </c>
      <c r="D138">
        <v>77.14</v>
      </c>
      <c r="E138">
        <v>29.06</v>
      </c>
      <c r="F138">
        <v>0.182</v>
      </c>
      <c r="G138">
        <v>0.20699999999999999</v>
      </c>
      <c r="H138">
        <v>5.4873989108529679</v>
      </c>
      <c r="I138" s="3">
        <v>5.5175458758608862</v>
      </c>
      <c r="J138" s="3">
        <f t="shared" si="6"/>
        <v>6.0043292016884822</v>
      </c>
      <c r="K138" s="3">
        <f t="shared" si="7"/>
        <v>5.5479530780581383</v>
      </c>
      <c r="L138" s="3">
        <f t="shared" si="8"/>
        <v>5.4863189427915131</v>
      </c>
    </row>
    <row r="139" spans="1:12" x14ac:dyDescent="0.3">
      <c r="A139">
        <v>5.07</v>
      </c>
      <c r="B139">
        <v>77</v>
      </c>
      <c r="C139">
        <v>30</v>
      </c>
      <c r="D139">
        <v>76.37</v>
      </c>
      <c r="E139">
        <v>29.93</v>
      </c>
      <c r="F139">
        <v>-0.81799999999999995</v>
      </c>
      <c r="G139">
        <v>-0.23300000000000001</v>
      </c>
      <c r="H139">
        <v>5.658948846349654</v>
      </c>
      <c r="I139" s="3">
        <v>5.6900382815491053</v>
      </c>
      <c r="J139" s="3">
        <f t="shared" si="6"/>
        <v>12.229551904321598</v>
      </c>
      <c r="K139" s="3">
        <f t="shared" si="7"/>
        <v>5.5857633423200035</v>
      </c>
      <c r="L139" s="3">
        <f t="shared" si="8"/>
        <v>10.17284698856022</v>
      </c>
    </row>
    <row r="140" spans="1:12" x14ac:dyDescent="0.3">
      <c r="A140">
        <v>5.31</v>
      </c>
      <c r="B140">
        <v>80</v>
      </c>
      <c r="C140">
        <v>29</v>
      </c>
      <c r="D140">
        <v>79.25</v>
      </c>
      <c r="E140">
        <v>28.96</v>
      </c>
      <c r="F140">
        <v>-0.93799999999999994</v>
      </c>
      <c r="G140">
        <v>-0.13800000000000001</v>
      </c>
      <c r="H140">
        <v>5.9217331044716897</v>
      </c>
      <c r="I140" s="3">
        <v>5.9542662378536386</v>
      </c>
      <c r="J140" s="3">
        <f t="shared" si="6"/>
        <v>12.133074159202243</v>
      </c>
      <c r="K140" s="3">
        <f t="shared" si="7"/>
        <v>5.8362060327217833</v>
      </c>
      <c r="L140" s="3">
        <f t="shared" si="8"/>
        <v>9.9097181303537418</v>
      </c>
    </row>
    <row r="141" spans="1:12" x14ac:dyDescent="0.3">
      <c r="A141">
        <v>5.43</v>
      </c>
      <c r="B141">
        <v>80</v>
      </c>
      <c r="C141">
        <v>29</v>
      </c>
      <c r="D141">
        <v>79.88</v>
      </c>
      <c r="E141">
        <v>29.03</v>
      </c>
      <c r="F141">
        <v>-0.15</v>
      </c>
      <c r="G141">
        <v>0.10299999999999999</v>
      </c>
      <c r="H141">
        <v>5.9217331044716897</v>
      </c>
      <c r="I141" s="3">
        <v>5.9542662378536386</v>
      </c>
      <c r="J141" s="3">
        <f t="shared" si="6"/>
        <v>9.6549951722585448</v>
      </c>
      <c r="K141" s="3">
        <f t="shared" si="7"/>
        <v>5.9420480916268019</v>
      </c>
      <c r="L141" s="3">
        <f t="shared" si="8"/>
        <v>9.4299832712118281</v>
      </c>
    </row>
    <row r="142" spans="1:12" x14ac:dyDescent="0.3">
      <c r="A142">
        <v>6.76</v>
      </c>
      <c r="B142">
        <v>79</v>
      </c>
      <c r="C142">
        <v>30</v>
      </c>
      <c r="D142">
        <v>79.53</v>
      </c>
      <c r="E142">
        <v>29.96</v>
      </c>
      <c r="F142">
        <v>0.67100000000000004</v>
      </c>
      <c r="G142">
        <v>-0.13300000000000001</v>
      </c>
      <c r="H142">
        <v>5.9556686106219257</v>
      </c>
      <c r="I142" s="3">
        <v>5.988388180698756</v>
      </c>
      <c r="J142" s="3">
        <f t="shared" si="6"/>
        <v>11.414376025166328</v>
      </c>
      <c r="K142" s="3">
        <f t="shared" si="7"/>
        <v>6.0613686947743277</v>
      </c>
      <c r="L142" s="3">
        <f t="shared" si="8"/>
        <v>10.334782621681541</v>
      </c>
    </row>
    <row r="143" spans="1:12" x14ac:dyDescent="0.3">
      <c r="A143">
        <v>6.96</v>
      </c>
      <c r="B143">
        <v>72</v>
      </c>
      <c r="C143">
        <v>33</v>
      </c>
      <c r="D143">
        <v>72.17</v>
      </c>
      <c r="E143">
        <v>33.01</v>
      </c>
      <c r="F143">
        <v>0.23599999999999999</v>
      </c>
      <c r="G143">
        <v>0.03</v>
      </c>
      <c r="H143">
        <v>5.397709276332888</v>
      </c>
      <c r="I143" s="3">
        <v>5.4273634996397968</v>
      </c>
      <c r="J143" s="3">
        <f t="shared" si="6"/>
        <v>22.020639372991425</v>
      </c>
      <c r="K143" s="3">
        <f t="shared" si="7"/>
        <v>5.4544265610032037</v>
      </c>
      <c r="L143" s="3">
        <f t="shared" si="8"/>
        <v>21.631802284436731</v>
      </c>
    </row>
    <row r="144" spans="1:12" x14ac:dyDescent="0.3">
      <c r="A144">
        <v>5.64</v>
      </c>
      <c r="B144">
        <v>81</v>
      </c>
      <c r="C144">
        <v>30</v>
      </c>
      <c r="D144">
        <v>80.45</v>
      </c>
      <c r="E144">
        <v>30.05</v>
      </c>
      <c r="F144">
        <v>-0.67900000000000005</v>
      </c>
      <c r="G144">
        <v>0.16700000000000001</v>
      </c>
      <c r="H144">
        <v>6.2599426323892224</v>
      </c>
      <c r="I144" s="3">
        <v>6.2943338393264403</v>
      </c>
      <c r="J144" s="3">
        <f t="shared" si="6"/>
        <v>11.601663817844694</v>
      </c>
      <c r="K144" s="3">
        <f t="shared" si="7"/>
        <v>6.2188305828516395</v>
      </c>
      <c r="L144" s="3">
        <f t="shared" si="8"/>
        <v>10.26295359666028</v>
      </c>
    </row>
    <row r="145" spans="1:12" x14ac:dyDescent="0.3">
      <c r="A145">
        <v>5.85</v>
      </c>
      <c r="B145">
        <v>81</v>
      </c>
      <c r="C145">
        <v>30</v>
      </c>
      <c r="D145">
        <v>80.709999999999994</v>
      </c>
      <c r="E145">
        <v>30.12</v>
      </c>
      <c r="F145">
        <v>-0.35799999999999998</v>
      </c>
      <c r="G145">
        <v>0.4</v>
      </c>
      <c r="H145">
        <v>6.2599426323892224</v>
      </c>
      <c r="I145" s="3">
        <v>6.2943338393264403</v>
      </c>
      <c r="J145" s="3">
        <f t="shared" si="6"/>
        <v>7.5954502448964218</v>
      </c>
      <c r="K145" s="3">
        <f t="shared" si="7"/>
        <v>6.2721880815315547</v>
      </c>
      <c r="L145" s="3">
        <f t="shared" si="8"/>
        <v>7.2168902825906853</v>
      </c>
    </row>
    <row r="146" spans="1:12" x14ac:dyDescent="0.3">
      <c r="A146">
        <v>6.37</v>
      </c>
      <c r="B146">
        <v>84</v>
      </c>
      <c r="C146">
        <v>29</v>
      </c>
      <c r="D146">
        <v>84.42</v>
      </c>
      <c r="E146">
        <v>29.02</v>
      </c>
      <c r="F146">
        <v>0.5</v>
      </c>
      <c r="G146">
        <v>6.9000000000000006E-2</v>
      </c>
      <c r="H146">
        <v>6.5264807581067874</v>
      </c>
      <c r="I146" s="3">
        <v>6.5623362864246504</v>
      </c>
      <c r="J146" s="3">
        <f t="shared" si="6"/>
        <v>3.0194079501514959</v>
      </c>
      <c r="K146" s="3">
        <f t="shared" si="7"/>
        <v>6.6320345401465124</v>
      </c>
      <c r="L146" s="3">
        <f t="shared" si="8"/>
        <v>4.1135720588149498</v>
      </c>
    </row>
    <row r="147" spans="1:12" x14ac:dyDescent="0.3">
      <c r="A147">
        <v>6.18</v>
      </c>
      <c r="B147">
        <v>82</v>
      </c>
      <c r="C147">
        <v>31</v>
      </c>
      <c r="D147">
        <v>81.77</v>
      </c>
      <c r="E147">
        <v>30.94</v>
      </c>
      <c r="F147">
        <v>-0.28000000000000003</v>
      </c>
      <c r="G147">
        <v>-0.19400000000000001</v>
      </c>
      <c r="H147">
        <v>6.6087835501788552</v>
      </c>
      <c r="I147" s="3">
        <v>6.6450912379684386</v>
      </c>
      <c r="J147" s="3">
        <f t="shared" si="6"/>
        <v>7.5257481871915681</v>
      </c>
      <c r="K147" s="3">
        <f t="shared" si="7"/>
        <v>6.5963734431162182</v>
      </c>
      <c r="L147" s="3">
        <f t="shared" si="8"/>
        <v>6.7374343546313682</v>
      </c>
    </row>
    <row r="148" spans="1:12" x14ac:dyDescent="0.3">
      <c r="A148">
        <v>6.17</v>
      </c>
      <c r="B148">
        <v>85</v>
      </c>
      <c r="C148">
        <v>30</v>
      </c>
      <c r="D148">
        <v>85.61</v>
      </c>
      <c r="E148">
        <v>29.9</v>
      </c>
      <c r="F148">
        <v>0.71799999999999997</v>
      </c>
      <c r="G148">
        <v>-0.33300000000000002</v>
      </c>
      <c r="H148">
        <v>6.8911481910963879</v>
      </c>
      <c r="I148" s="3">
        <v>6.9290071488205074</v>
      </c>
      <c r="J148" s="3">
        <f t="shared" si="6"/>
        <v>12.301574535178403</v>
      </c>
      <c r="K148" s="3">
        <f t="shared" si="7"/>
        <v>7.0071781349479476</v>
      </c>
      <c r="L148" s="3">
        <f t="shared" si="8"/>
        <v>13.568527308718764</v>
      </c>
    </row>
    <row r="149" spans="1:12" x14ac:dyDescent="0.3">
      <c r="A149">
        <v>6.44</v>
      </c>
      <c r="B149">
        <v>80</v>
      </c>
      <c r="C149">
        <v>32</v>
      </c>
      <c r="D149">
        <v>79.97</v>
      </c>
      <c r="E149">
        <v>31.98</v>
      </c>
      <c r="F149">
        <v>-3.7999999999999999E-2</v>
      </c>
      <c r="G149">
        <v>-6.2E-2</v>
      </c>
      <c r="H149">
        <v>6.4754377494288988</v>
      </c>
      <c r="I149" s="3">
        <v>6.5110128549414377</v>
      </c>
      <c r="J149" s="3">
        <f t="shared" si="6"/>
        <v>1.1026840829415725</v>
      </c>
      <c r="K149" s="3">
        <f t="shared" si="7"/>
        <v>6.5024470069534939</v>
      </c>
      <c r="L149" s="3">
        <f t="shared" si="8"/>
        <v>0.96967402101697941</v>
      </c>
    </row>
    <row r="150" spans="1:12" x14ac:dyDescent="0.3">
      <c r="A150">
        <v>6.05</v>
      </c>
      <c r="B150">
        <v>83</v>
      </c>
      <c r="C150">
        <v>31</v>
      </c>
      <c r="D150">
        <v>82.73</v>
      </c>
      <c r="E150">
        <v>31.09</v>
      </c>
      <c r="F150">
        <v>-0.32500000000000001</v>
      </c>
      <c r="G150">
        <v>0.28999999999999998</v>
      </c>
      <c r="H150">
        <v>6.770381611938836</v>
      </c>
      <c r="I150" s="3">
        <v>6.8075770957848691</v>
      </c>
      <c r="J150" s="3">
        <f t="shared" si="6"/>
        <v>12.521935467518503</v>
      </c>
      <c r="K150" s="3">
        <f t="shared" si="7"/>
        <v>6.7813325551193335</v>
      </c>
      <c r="L150" s="3">
        <f t="shared" si="8"/>
        <v>12.088141406931136</v>
      </c>
    </row>
    <row r="151" spans="1:12" x14ac:dyDescent="0.3">
      <c r="A151">
        <v>7.03</v>
      </c>
      <c r="B151">
        <v>84</v>
      </c>
      <c r="C151">
        <v>31</v>
      </c>
      <c r="D151">
        <v>84.33</v>
      </c>
      <c r="E151">
        <v>31.06</v>
      </c>
      <c r="F151">
        <v>0.39300000000000002</v>
      </c>
      <c r="G151">
        <v>0.19400000000000001</v>
      </c>
      <c r="H151">
        <v>6.9339246409267776</v>
      </c>
      <c r="I151" s="3">
        <v>6.972018606194025</v>
      </c>
      <c r="J151" s="3">
        <f t="shared" si="6"/>
        <v>0.82477089339936305</v>
      </c>
      <c r="K151" s="3">
        <f t="shared" si="7"/>
        <v>7.0390529483158293</v>
      </c>
      <c r="L151" s="3">
        <f t="shared" si="8"/>
        <v>0.12877593621378428</v>
      </c>
    </row>
    <row r="152" spans="1:12" x14ac:dyDescent="0.3">
      <c r="A152">
        <v>6.19</v>
      </c>
      <c r="B152">
        <v>82</v>
      </c>
      <c r="C152">
        <v>32</v>
      </c>
      <c r="D152">
        <v>82.42</v>
      </c>
      <c r="E152">
        <v>31.93</v>
      </c>
      <c r="F152">
        <v>0.51200000000000001</v>
      </c>
      <c r="G152">
        <v>-0.219</v>
      </c>
      <c r="H152">
        <v>6.8020806329046746</v>
      </c>
      <c r="I152" s="3">
        <v>6.8394502665239196</v>
      </c>
      <c r="J152" s="3">
        <f t="shared" si="6"/>
        <v>10.491926761291102</v>
      </c>
      <c r="K152" s="3">
        <f t="shared" si="7"/>
        <v>6.8957107821196661</v>
      </c>
      <c r="L152" s="3">
        <f t="shared" si="8"/>
        <v>11.400820389655344</v>
      </c>
    </row>
    <row r="153" spans="1:12" x14ac:dyDescent="0.3">
      <c r="A153">
        <v>7.11</v>
      </c>
      <c r="B153">
        <v>82</v>
      </c>
      <c r="C153">
        <v>32</v>
      </c>
      <c r="D153">
        <v>81.56</v>
      </c>
      <c r="E153">
        <v>32.049999999999997</v>
      </c>
      <c r="F153">
        <v>-0.53700000000000003</v>
      </c>
      <c r="G153">
        <v>0.156</v>
      </c>
      <c r="H153">
        <v>6.8020806329046746</v>
      </c>
      <c r="I153" s="3">
        <v>6.8394502665239196</v>
      </c>
      <c r="J153" s="3">
        <f t="shared" si="6"/>
        <v>3.8052001895369996</v>
      </c>
      <c r="K153" s="3">
        <f t="shared" si="7"/>
        <v>6.776094320513443</v>
      </c>
      <c r="L153" s="3">
        <f t="shared" si="8"/>
        <v>4.6962824119065729</v>
      </c>
    </row>
    <row r="154" spans="1:12" x14ac:dyDescent="0.3">
      <c r="A154">
        <v>7.01</v>
      </c>
      <c r="B154">
        <v>85</v>
      </c>
      <c r="C154">
        <v>31</v>
      </c>
      <c r="D154">
        <v>85.44</v>
      </c>
      <c r="E154">
        <v>30.9</v>
      </c>
      <c r="F154">
        <v>0.51800000000000002</v>
      </c>
      <c r="G154">
        <v>-0.32300000000000001</v>
      </c>
      <c r="H154">
        <v>7.0994124740477336</v>
      </c>
      <c r="I154" s="3">
        <v>7.1384156052049379</v>
      </c>
      <c r="J154" s="3">
        <f t="shared" si="6"/>
        <v>1.8318916577023983</v>
      </c>
      <c r="K154" s="3">
        <f t="shared" si="7"/>
        <v>7.191111925416565</v>
      </c>
      <c r="L154" s="3">
        <f t="shared" si="8"/>
        <v>2.5836223311920854</v>
      </c>
    </row>
    <row r="155" spans="1:12" x14ac:dyDescent="0.3">
      <c r="A155">
        <v>3.4</v>
      </c>
      <c r="B155">
        <v>68</v>
      </c>
      <c r="C155">
        <v>39</v>
      </c>
      <c r="D155">
        <v>68.3</v>
      </c>
      <c r="E155">
        <v>39.020000000000003</v>
      </c>
      <c r="F155">
        <v>0.441</v>
      </c>
      <c r="G155">
        <v>5.0999999999999997E-2</v>
      </c>
      <c r="H155">
        <v>5.6055043563570104</v>
      </c>
      <c r="I155" s="3">
        <v>5.6363001753649202</v>
      </c>
      <c r="J155" s="3">
        <f t="shared" si="6"/>
        <v>65.773534569556475</v>
      </c>
      <c r="K155" s="3">
        <f t="shared" si="7"/>
        <v>5.6886070924889278</v>
      </c>
      <c r="L155" s="3">
        <f t="shared" si="8"/>
        <v>67.311973308497883</v>
      </c>
    </row>
    <row r="156" spans="1:12" x14ac:dyDescent="0.3">
      <c r="A156">
        <v>5.91</v>
      </c>
      <c r="B156">
        <v>81</v>
      </c>
      <c r="C156">
        <v>33</v>
      </c>
      <c r="D156">
        <v>80.84</v>
      </c>
      <c r="E156">
        <v>33</v>
      </c>
      <c r="F156">
        <v>-0.19800000000000001</v>
      </c>
      <c r="G156">
        <v>0</v>
      </c>
      <c r="H156">
        <v>6.8258441547137352</v>
      </c>
      <c r="I156" s="3">
        <v>6.8633443416373927</v>
      </c>
      <c r="J156" s="3">
        <f t="shared" si="6"/>
        <v>16.131037929566709</v>
      </c>
      <c r="K156" s="3">
        <f t="shared" si="7"/>
        <v>6.8363427535630716</v>
      </c>
      <c r="L156" s="3">
        <f t="shared" si="8"/>
        <v>15.674158266718639</v>
      </c>
    </row>
    <row r="157" spans="1:12" x14ac:dyDescent="0.3">
      <c r="A157">
        <v>6.87</v>
      </c>
      <c r="B157">
        <v>85</v>
      </c>
      <c r="C157">
        <v>32</v>
      </c>
      <c r="D157">
        <v>84.94</v>
      </c>
      <c r="E157">
        <v>32.06</v>
      </c>
      <c r="F157">
        <v>-7.0999999999999994E-2</v>
      </c>
      <c r="G157">
        <v>0.188</v>
      </c>
      <c r="H157">
        <v>7.307059722574067</v>
      </c>
      <c r="I157" s="3">
        <v>7.3472036372676994</v>
      </c>
      <c r="J157" s="3">
        <f t="shared" si="6"/>
        <v>6.9461955934162933</v>
      </c>
      <c r="K157" s="3">
        <f t="shared" si="7"/>
        <v>7.3493522860816256</v>
      </c>
      <c r="L157" s="3">
        <f t="shared" si="8"/>
        <v>6.977471413124098</v>
      </c>
    </row>
    <row r="158" spans="1:12" x14ac:dyDescent="0.3">
      <c r="A158">
        <v>4.5</v>
      </c>
      <c r="B158">
        <v>74</v>
      </c>
      <c r="C158">
        <v>37</v>
      </c>
      <c r="D158">
        <v>73.5</v>
      </c>
      <c r="E158">
        <v>37.020000000000003</v>
      </c>
      <c r="F158">
        <v>-0.67600000000000005</v>
      </c>
      <c r="G158">
        <v>5.3999999999999999E-2</v>
      </c>
      <c r="H158">
        <v>6.3247428930958707</v>
      </c>
      <c r="I158" s="3">
        <v>6.3594901031638562</v>
      </c>
      <c r="J158" s="3">
        <f t="shared" si="6"/>
        <v>41.322002292530136</v>
      </c>
      <c r="K158" s="3">
        <f t="shared" si="7"/>
        <v>6.2772107076681687</v>
      </c>
      <c r="L158" s="3">
        <f t="shared" si="8"/>
        <v>39.493571281514861</v>
      </c>
    </row>
    <row r="159" spans="1:12" x14ac:dyDescent="0.3">
      <c r="A159">
        <v>6.92</v>
      </c>
      <c r="B159">
        <v>83</v>
      </c>
      <c r="C159">
        <v>33</v>
      </c>
      <c r="D159">
        <v>82.92</v>
      </c>
      <c r="E159">
        <v>32.94</v>
      </c>
      <c r="F159">
        <v>-9.6000000000000002E-2</v>
      </c>
      <c r="G159">
        <v>-0.182</v>
      </c>
      <c r="H159">
        <v>7.1658604033333759</v>
      </c>
      <c r="I159" s="3">
        <v>7.2052285896709236</v>
      </c>
      <c r="J159" s="3">
        <f t="shared" si="6"/>
        <v>4.1218004287705741</v>
      </c>
      <c r="K159" s="3">
        <f t="shared" si="7"/>
        <v>7.1795114426422293</v>
      </c>
      <c r="L159" s="3">
        <f t="shared" si="8"/>
        <v>3.7501653561015806</v>
      </c>
    </row>
    <row r="160" spans="1:12" x14ac:dyDescent="0.3">
      <c r="A160">
        <v>7.39</v>
      </c>
      <c r="B160">
        <v>83</v>
      </c>
      <c r="C160">
        <v>33</v>
      </c>
      <c r="D160">
        <v>82.42</v>
      </c>
      <c r="E160">
        <v>33.01</v>
      </c>
      <c r="F160">
        <v>-0.69899999999999995</v>
      </c>
      <c r="G160">
        <v>0.03</v>
      </c>
      <c r="H160">
        <v>7.1658604033333759</v>
      </c>
      <c r="I160" s="3">
        <v>7.2052285896709236</v>
      </c>
      <c r="J160" s="3">
        <f t="shared" si="6"/>
        <v>2.5002897202851972</v>
      </c>
      <c r="K160" s="3">
        <f t="shared" si="7"/>
        <v>7.1071758612366001</v>
      </c>
      <c r="L160" s="3">
        <f t="shared" si="8"/>
        <v>3.8271196043761795</v>
      </c>
    </row>
    <row r="161" spans="1:12" x14ac:dyDescent="0.3">
      <c r="A161">
        <v>7.35</v>
      </c>
      <c r="B161">
        <v>86</v>
      </c>
      <c r="C161">
        <v>32</v>
      </c>
      <c r="D161">
        <v>86.76</v>
      </c>
      <c r="E161">
        <v>31.96</v>
      </c>
      <c r="F161">
        <v>0.88400000000000001</v>
      </c>
      <c r="G161">
        <v>-0.125</v>
      </c>
      <c r="H161">
        <v>7.4793893494063131</v>
      </c>
      <c r="I161" s="3">
        <v>7.5204800178013507</v>
      </c>
      <c r="J161" s="3">
        <f t="shared" si="6"/>
        <v>2.3194560245081774</v>
      </c>
      <c r="K161" s="3">
        <f t="shared" si="7"/>
        <v>7.6448187868274502</v>
      </c>
      <c r="L161" s="3">
        <f t="shared" si="8"/>
        <v>4.0111399568360619</v>
      </c>
    </row>
    <row r="162" spans="1:12" x14ac:dyDescent="0.3">
      <c r="A162">
        <v>6.62</v>
      </c>
      <c r="B162">
        <v>84</v>
      </c>
      <c r="C162">
        <v>33</v>
      </c>
      <c r="D162">
        <v>84.8</v>
      </c>
      <c r="E162">
        <v>32.950000000000003</v>
      </c>
      <c r="F162">
        <v>0.95199999999999996</v>
      </c>
      <c r="G162">
        <v>-0.152</v>
      </c>
      <c r="H162">
        <v>7.3389564831170224</v>
      </c>
      <c r="I162" s="3">
        <v>7.379275633936107</v>
      </c>
      <c r="J162" s="3">
        <f t="shared" si="6"/>
        <v>11.469420452207052</v>
      </c>
      <c r="K162" s="3">
        <f t="shared" si="7"/>
        <v>7.5096472117423199</v>
      </c>
      <c r="L162" s="3">
        <f t="shared" si="8"/>
        <v>13.438779633569784</v>
      </c>
    </row>
    <row r="163" spans="1:12" x14ac:dyDescent="0.3">
      <c r="A163">
        <v>6.72</v>
      </c>
      <c r="B163">
        <v>82</v>
      </c>
      <c r="C163">
        <v>34</v>
      </c>
      <c r="D163">
        <v>82.49</v>
      </c>
      <c r="E163">
        <v>34.01</v>
      </c>
      <c r="F163">
        <v>0.59799999999999998</v>
      </c>
      <c r="G163">
        <v>2.9000000000000001E-2</v>
      </c>
      <c r="H163">
        <v>7.1870286971558137</v>
      </c>
      <c r="I163" s="3">
        <v>7.2265131789957504</v>
      </c>
      <c r="J163" s="3">
        <f t="shared" si="6"/>
        <v>7.5373984969605763</v>
      </c>
      <c r="K163" s="3">
        <f t="shared" si="7"/>
        <v>7.3147755811042838</v>
      </c>
      <c r="L163" s="3">
        <f t="shared" si="8"/>
        <v>8.850827099766132</v>
      </c>
    </row>
    <row r="164" spans="1:12" x14ac:dyDescent="0.3">
      <c r="A164">
        <v>7.86</v>
      </c>
      <c r="B164">
        <v>86</v>
      </c>
      <c r="C164">
        <v>33</v>
      </c>
      <c r="D164">
        <v>85.87</v>
      </c>
      <c r="E164">
        <v>33.1</v>
      </c>
      <c r="F164">
        <v>-0.151</v>
      </c>
      <c r="G164">
        <v>0.30299999999999999</v>
      </c>
      <c r="H164">
        <v>7.6913236904727196</v>
      </c>
      <c r="I164" s="3">
        <v>7.7335786950619916</v>
      </c>
      <c r="J164" s="3">
        <f t="shared" si="6"/>
        <v>1.6084135488296278</v>
      </c>
      <c r="K164" s="3">
        <f t="shared" si="7"/>
        <v>7.7315005890979434</v>
      </c>
      <c r="L164" s="3">
        <f t="shared" si="8"/>
        <v>1.6348525560058138</v>
      </c>
    </row>
    <row r="165" spans="1:12" x14ac:dyDescent="0.3">
      <c r="A165">
        <v>7.71</v>
      </c>
      <c r="B165">
        <v>84</v>
      </c>
      <c r="C165">
        <v>34</v>
      </c>
      <c r="D165">
        <v>84.72</v>
      </c>
      <c r="E165">
        <v>33.869999999999997</v>
      </c>
      <c r="F165">
        <v>0.85699999999999998</v>
      </c>
      <c r="G165">
        <v>-0.38200000000000001</v>
      </c>
      <c r="H165">
        <v>7.5406184814311086</v>
      </c>
      <c r="I165" s="3">
        <v>7.5820455336995627</v>
      </c>
      <c r="J165" s="3">
        <f t="shared" si="6"/>
        <v>1.6595910025997054</v>
      </c>
      <c r="K165" s="3">
        <f t="shared" si="7"/>
        <v>7.6853294940241073</v>
      </c>
      <c r="L165" s="3">
        <f t="shared" si="8"/>
        <v>0.31998062225541779</v>
      </c>
    </row>
    <row r="166" spans="1:12" x14ac:dyDescent="0.3">
      <c r="A166">
        <v>8.25</v>
      </c>
      <c r="B166">
        <v>82</v>
      </c>
      <c r="C166">
        <v>35</v>
      </c>
      <c r="D166">
        <v>81.87</v>
      </c>
      <c r="E166">
        <v>34.96</v>
      </c>
      <c r="F166">
        <v>-0.159</v>
      </c>
      <c r="G166">
        <v>-0.114</v>
      </c>
      <c r="H166">
        <v>7.3787152289999032</v>
      </c>
      <c r="I166" s="3">
        <v>7.4192528085391087</v>
      </c>
      <c r="J166" s="3">
        <f t="shared" si="6"/>
        <v>10.069662926798681</v>
      </c>
      <c r="K166" s="3">
        <f t="shared" si="7"/>
        <v>7.3881443490199636</v>
      </c>
      <c r="L166" s="3">
        <f t="shared" si="8"/>
        <v>10.446735163394379</v>
      </c>
    </row>
    <row r="167" spans="1:12" x14ac:dyDescent="0.3">
      <c r="A167">
        <v>7.78</v>
      </c>
      <c r="B167">
        <v>87</v>
      </c>
      <c r="C167">
        <v>33</v>
      </c>
      <c r="D167">
        <v>87.34</v>
      </c>
      <c r="E167">
        <v>32.93</v>
      </c>
      <c r="F167">
        <v>0.39100000000000001</v>
      </c>
      <c r="G167">
        <v>-0.21199999999999999</v>
      </c>
      <c r="H167">
        <v>7.8705944789244704</v>
      </c>
      <c r="I167" s="3">
        <v>7.9138343709393144</v>
      </c>
      <c r="J167" s="3">
        <f t="shared" si="6"/>
        <v>1.7202361303253748</v>
      </c>
      <c r="K167" s="3">
        <f t="shared" si="7"/>
        <v>7.9602190845126479</v>
      </c>
      <c r="L167" s="3">
        <f t="shared" si="8"/>
        <v>2.3164406749697641</v>
      </c>
    </row>
    <row r="168" spans="1:12" x14ac:dyDescent="0.3">
      <c r="A168">
        <v>7.75</v>
      </c>
      <c r="B168">
        <v>80</v>
      </c>
      <c r="C168">
        <v>36</v>
      </c>
      <c r="D168">
        <v>79.569999999999993</v>
      </c>
      <c r="E168">
        <v>36.08</v>
      </c>
      <c r="F168">
        <v>-0.53800000000000003</v>
      </c>
      <c r="G168">
        <v>0.222</v>
      </c>
      <c r="H168">
        <v>7.2063843883941781</v>
      </c>
      <c r="I168" s="3">
        <v>7.245975207563685</v>
      </c>
      <c r="J168" s="3">
        <f t="shared" si="6"/>
        <v>6.5035457088556781</v>
      </c>
      <c r="K168" s="3">
        <f t="shared" si="7"/>
        <v>7.1830153542057662</v>
      </c>
      <c r="L168" s="3">
        <f t="shared" si="8"/>
        <v>7.3159309134739852</v>
      </c>
    </row>
    <row r="169" spans="1:12" x14ac:dyDescent="0.3">
      <c r="A169">
        <v>7.23</v>
      </c>
      <c r="B169">
        <v>85</v>
      </c>
      <c r="C169">
        <v>34</v>
      </c>
      <c r="D169">
        <v>85.62</v>
      </c>
      <c r="E169">
        <v>33.979999999999997</v>
      </c>
      <c r="F169">
        <v>0.72899999999999998</v>
      </c>
      <c r="G169">
        <v>-5.8999999999999997E-2</v>
      </c>
      <c r="H169">
        <v>7.7205859136582191</v>
      </c>
      <c r="I169" s="3">
        <v>7.7630016806109996</v>
      </c>
      <c r="J169" s="3">
        <f t="shared" si="6"/>
        <v>7.3720841025034458</v>
      </c>
      <c r="K169" s="3">
        <f t="shared" si="7"/>
        <v>7.8720453125157599</v>
      </c>
      <c r="L169" s="3">
        <f t="shared" si="8"/>
        <v>8.8802947789178344</v>
      </c>
    </row>
    <row r="170" spans="1:12" x14ac:dyDescent="0.3">
      <c r="A170">
        <v>7.91</v>
      </c>
      <c r="B170">
        <v>88</v>
      </c>
      <c r="C170">
        <v>33</v>
      </c>
      <c r="D170">
        <v>88.29</v>
      </c>
      <c r="E170">
        <v>32.9</v>
      </c>
      <c r="F170">
        <v>0.33</v>
      </c>
      <c r="G170">
        <v>-0.30299999999999999</v>
      </c>
      <c r="H170">
        <v>8.0519231677802203</v>
      </c>
      <c r="I170" s="3">
        <v>8.0961592530237088</v>
      </c>
      <c r="J170" s="3">
        <f t="shared" si="6"/>
        <v>2.3534671684413224</v>
      </c>
      <c r="K170" s="3">
        <f t="shared" si="7"/>
        <v>8.1269830038395057</v>
      </c>
      <c r="L170" s="3">
        <f t="shared" si="8"/>
        <v>2.7431479625727628</v>
      </c>
    </row>
    <row r="171" spans="1:12" x14ac:dyDescent="0.3">
      <c r="A171">
        <v>7.26</v>
      </c>
      <c r="B171">
        <v>83</v>
      </c>
      <c r="C171">
        <v>35</v>
      </c>
      <c r="D171">
        <v>83</v>
      </c>
      <c r="E171">
        <v>35.119999999999997</v>
      </c>
      <c r="F171">
        <v>0</v>
      </c>
      <c r="G171">
        <v>0.34300000000000003</v>
      </c>
      <c r="H171">
        <v>7.5591396702350782</v>
      </c>
      <c r="I171" s="3">
        <v>7.6006684751990896</v>
      </c>
      <c r="J171" s="3">
        <f t="shared" si="6"/>
        <v>4.6924032396568842</v>
      </c>
      <c r="K171" s="3">
        <f t="shared" si="7"/>
        <v>7.6243179682571744</v>
      </c>
      <c r="L171" s="3">
        <f t="shared" si="8"/>
        <v>5.0181538327434527</v>
      </c>
    </row>
    <row r="172" spans="1:12" x14ac:dyDescent="0.3">
      <c r="A172">
        <v>7.86</v>
      </c>
      <c r="B172">
        <v>83</v>
      </c>
      <c r="C172">
        <v>35</v>
      </c>
      <c r="D172">
        <v>83.1</v>
      </c>
      <c r="E172">
        <v>34.9</v>
      </c>
      <c r="F172">
        <v>0.12</v>
      </c>
      <c r="G172">
        <v>-0.28599999999999998</v>
      </c>
      <c r="H172">
        <v>7.5591396702350782</v>
      </c>
      <c r="I172" s="3">
        <v>7.6006684751990896</v>
      </c>
      <c r="J172" s="3">
        <f t="shared" si="6"/>
        <v>3.2993832671871588</v>
      </c>
      <c r="K172" s="3">
        <f t="shared" si="7"/>
        <v>7.5991514649691041</v>
      </c>
      <c r="L172" s="3">
        <f t="shared" si="8"/>
        <v>3.3186836517925729</v>
      </c>
    </row>
    <row r="173" spans="1:12" x14ac:dyDescent="0.3">
      <c r="A173">
        <v>8.2200000000000006</v>
      </c>
      <c r="B173">
        <v>91</v>
      </c>
      <c r="C173">
        <v>32</v>
      </c>
      <c r="D173">
        <v>91.82</v>
      </c>
      <c r="E173">
        <v>32.1</v>
      </c>
      <c r="F173">
        <v>0.90100000000000002</v>
      </c>
      <c r="G173">
        <v>0.313</v>
      </c>
      <c r="H173">
        <v>8.3710546259774254</v>
      </c>
      <c r="I173" s="3">
        <v>8.4170439726585258</v>
      </c>
      <c r="J173" s="3">
        <f t="shared" si="6"/>
        <v>2.3971286211499407</v>
      </c>
      <c r="K173" s="3">
        <f t="shared" si="7"/>
        <v>8.5931818043319765</v>
      </c>
      <c r="L173" s="3">
        <f t="shared" si="8"/>
        <v>4.5399246269096816</v>
      </c>
    </row>
    <row r="174" spans="1:12" x14ac:dyDescent="0.3">
      <c r="A174">
        <v>7.65</v>
      </c>
      <c r="B174">
        <v>86</v>
      </c>
      <c r="C174">
        <v>34</v>
      </c>
      <c r="D174">
        <v>85.34</v>
      </c>
      <c r="E174">
        <v>33.92</v>
      </c>
      <c r="F174">
        <v>-0.76700000000000002</v>
      </c>
      <c r="G174">
        <v>-0.23499999999999999</v>
      </c>
      <c r="H174">
        <v>7.9026681382384671</v>
      </c>
      <c r="I174" s="3">
        <v>7.9460842382346737</v>
      </c>
      <c r="J174" s="3">
        <f t="shared" si="6"/>
        <v>3.8703821991460567</v>
      </c>
      <c r="K174" s="3">
        <f t="shared" si="7"/>
        <v>7.8082809501478376</v>
      </c>
      <c r="L174" s="3">
        <f t="shared" si="8"/>
        <v>2.0690320280763044</v>
      </c>
    </row>
    <row r="175" spans="1:12" x14ac:dyDescent="0.3">
      <c r="A175">
        <v>7.69</v>
      </c>
      <c r="B175">
        <v>89</v>
      </c>
      <c r="C175">
        <v>33</v>
      </c>
      <c r="D175">
        <v>89.76</v>
      </c>
      <c r="E175">
        <v>33</v>
      </c>
      <c r="F175">
        <v>0.85399999999999998</v>
      </c>
      <c r="G175">
        <v>0</v>
      </c>
      <c r="H175">
        <v>8.2353095923638957</v>
      </c>
      <c r="I175" s="3">
        <v>8.2805531757343953</v>
      </c>
      <c r="J175" s="3">
        <f t="shared" si="6"/>
        <v>7.6794951330870598</v>
      </c>
      <c r="K175" s="3">
        <f t="shared" si="7"/>
        <v>8.4220656080246936</v>
      </c>
      <c r="L175" s="3">
        <f t="shared" si="8"/>
        <v>9.5197088169661015</v>
      </c>
    </row>
    <row r="176" spans="1:12" x14ac:dyDescent="0.3">
      <c r="A176">
        <v>8.73</v>
      </c>
      <c r="B176">
        <v>89</v>
      </c>
      <c r="C176">
        <v>33</v>
      </c>
      <c r="D176">
        <v>88.88</v>
      </c>
      <c r="E176">
        <v>32.909999999999997</v>
      </c>
      <c r="F176">
        <v>-0.13500000000000001</v>
      </c>
      <c r="G176">
        <v>-0.27300000000000002</v>
      </c>
      <c r="H176">
        <v>8.2353095923638957</v>
      </c>
      <c r="I176" s="3">
        <v>8.2805531757343953</v>
      </c>
      <c r="J176" s="3">
        <f t="shared" si="6"/>
        <v>5.148302683454812</v>
      </c>
      <c r="K176" s="3">
        <f t="shared" si="7"/>
        <v>8.2378523304991109</v>
      </c>
      <c r="L176" s="3">
        <f t="shared" si="8"/>
        <v>5.6374303493801774</v>
      </c>
    </row>
    <row r="177" spans="1:12" x14ac:dyDescent="0.3">
      <c r="A177">
        <v>8.1</v>
      </c>
      <c r="B177">
        <v>84</v>
      </c>
      <c r="C177">
        <v>35</v>
      </c>
      <c r="D177">
        <v>84.63</v>
      </c>
      <c r="E177">
        <v>35.119999999999997</v>
      </c>
      <c r="F177">
        <v>0.75</v>
      </c>
      <c r="G177">
        <v>0.34300000000000003</v>
      </c>
      <c r="H177">
        <v>7.7417356698509892</v>
      </c>
      <c r="I177" s="3">
        <v>7.7842676304631384</v>
      </c>
      <c r="J177" s="3">
        <f t="shared" si="6"/>
        <v>3.8979304881093984</v>
      </c>
      <c r="K177" s="3">
        <f t="shared" si="7"/>
        <v>7.9256402658235485</v>
      </c>
      <c r="L177" s="3">
        <f t="shared" si="8"/>
        <v>2.1525893108203844</v>
      </c>
    </row>
    <row r="178" spans="1:12" x14ac:dyDescent="0.3">
      <c r="A178">
        <v>8.52</v>
      </c>
      <c r="B178">
        <v>82</v>
      </c>
      <c r="C178">
        <v>36</v>
      </c>
      <c r="D178">
        <v>81.790000000000006</v>
      </c>
      <c r="E178">
        <v>35.869999999999997</v>
      </c>
      <c r="F178">
        <v>-0.25600000000000001</v>
      </c>
      <c r="G178">
        <v>-0.36099999999999999</v>
      </c>
      <c r="H178">
        <v>7.5698986815039371</v>
      </c>
      <c r="I178" s="3">
        <v>7.6114865948982837</v>
      </c>
      <c r="J178" s="3">
        <f t="shared" si="6"/>
        <v>10.663302876780703</v>
      </c>
      <c r="K178" s="3">
        <f t="shared" si="7"/>
        <v>7.5478421357580752</v>
      </c>
      <c r="L178" s="3">
        <f t="shared" si="8"/>
        <v>11.410303570914607</v>
      </c>
    </row>
    <row r="179" spans="1:12" x14ac:dyDescent="0.3">
      <c r="A179">
        <v>8.27</v>
      </c>
      <c r="B179">
        <v>88</v>
      </c>
      <c r="C179">
        <v>34</v>
      </c>
      <c r="D179">
        <v>88.28</v>
      </c>
      <c r="E179">
        <v>33.99</v>
      </c>
      <c r="F179">
        <v>0.318</v>
      </c>
      <c r="G179">
        <v>-2.9000000000000001E-2</v>
      </c>
      <c r="H179">
        <v>8.2731762737253867</v>
      </c>
      <c r="I179" s="3">
        <v>8.3186278910909568</v>
      </c>
      <c r="J179" s="3">
        <f t="shared" si="6"/>
        <v>0.58800351984228816</v>
      </c>
      <c r="K179" s="3">
        <f t="shared" si="7"/>
        <v>8.3692162345824155</v>
      </c>
      <c r="L179" s="3">
        <f t="shared" si="8"/>
        <v>1.199712630984473</v>
      </c>
    </row>
    <row r="180" spans="1:12" x14ac:dyDescent="0.3">
      <c r="A180">
        <v>8.82</v>
      </c>
      <c r="B180">
        <v>89</v>
      </c>
      <c r="C180">
        <v>34</v>
      </c>
      <c r="D180">
        <v>88.61</v>
      </c>
      <c r="E180">
        <v>33.950000000000003</v>
      </c>
      <c r="F180">
        <v>-0.438</v>
      </c>
      <c r="G180">
        <v>-0.14699999999999999</v>
      </c>
      <c r="H180">
        <v>8.4616018442598939</v>
      </c>
      <c r="I180" s="3">
        <v>8.5080886440814485</v>
      </c>
      <c r="J180" s="3">
        <f t="shared" si="6"/>
        <v>3.5364099310493398</v>
      </c>
      <c r="K180" s="3">
        <f t="shared" si="7"/>
        <v>8.4226724261946213</v>
      </c>
      <c r="L180" s="3">
        <f t="shared" si="8"/>
        <v>4.5048477755711902</v>
      </c>
    </row>
    <row r="181" spans="1:12" x14ac:dyDescent="0.3">
      <c r="A181">
        <v>8.89</v>
      </c>
      <c r="B181">
        <v>87</v>
      </c>
      <c r="C181">
        <v>35</v>
      </c>
      <c r="D181">
        <v>87.65</v>
      </c>
      <c r="E181">
        <v>35.04</v>
      </c>
      <c r="F181">
        <v>0.747</v>
      </c>
      <c r="G181">
        <v>0.114</v>
      </c>
      <c r="H181">
        <v>8.3025512088256175</v>
      </c>
      <c r="I181" s="3">
        <v>8.3481642077774296</v>
      </c>
      <c r="J181" s="3">
        <f t="shared" si="6"/>
        <v>6.0948908011537783</v>
      </c>
      <c r="K181" s="3">
        <f t="shared" si="7"/>
        <v>8.4817128508286626</v>
      </c>
      <c r="L181" s="3">
        <f t="shared" si="8"/>
        <v>4.5926563461342855</v>
      </c>
    </row>
    <row r="182" spans="1:12" x14ac:dyDescent="0.3">
      <c r="A182">
        <v>9.24</v>
      </c>
      <c r="B182">
        <v>86</v>
      </c>
      <c r="C182">
        <v>36</v>
      </c>
      <c r="D182">
        <v>86.08</v>
      </c>
      <c r="E182">
        <v>36.130000000000003</v>
      </c>
      <c r="F182">
        <v>9.2999999999999999E-2</v>
      </c>
      <c r="G182">
        <v>0.36099999999999999</v>
      </c>
      <c r="H182">
        <v>8.3236619249466184</v>
      </c>
      <c r="I182" s="3">
        <v>8.3693909030773703</v>
      </c>
      <c r="J182" s="3">
        <f t="shared" si="6"/>
        <v>9.4221763736215358</v>
      </c>
      <c r="K182" s="3">
        <f t="shared" si="7"/>
        <v>8.4123934899126986</v>
      </c>
      <c r="L182" s="3">
        <f t="shared" si="8"/>
        <v>8.9567804122002332</v>
      </c>
    </row>
    <row r="183" spans="1:12" x14ac:dyDescent="0.3">
      <c r="A183">
        <v>9.8699999999999992</v>
      </c>
      <c r="B183">
        <v>87</v>
      </c>
      <c r="C183">
        <v>36</v>
      </c>
      <c r="D183">
        <v>86.78</v>
      </c>
      <c r="E183">
        <v>35.99</v>
      </c>
      <c r="F183">
        <v>-0.253</v>
      </c>
      <c r="G183">
        <v>-2.8000000000000001E-2</v>
      </c>
      <c r="H183">
        <v>8.5176713693728576</v>
      </c>
      <c r="I183" s="3">
        <v>8.564466206944001</v>
      </c>
      <c r="J183" s="3">
        <f t="shared" si="6"/>
        <v>13.227292736129669</v>
      </c>
      <c r="K183" s="3">
        <f t="shared" si="7"/>
        <v>8.519197242646559</v>
      </c>
      <c r="L183" s="3">
        <f t="shared" si="8"/>
        <v>13.685944856671128</v>
      </c>
    </row>
    <row r="184" spans="1:12" x14ac:dyDescent="0.3">
      <c r="A184">
        <v>8.76</v>
      </c>
      <c r="B184">
        <v>88</v>
      </c>
      <c r="C184">
        <v>36</v>
      </c>
      <c r="D184">
        <v>87.17</v>
      </c>
      <c r="E184">
        <v>36.08</v>
      </c>
      <c r="F184">
        <v>-0.94299999999999995</v>
      </c>
      <c r="G184">
        <v>0.222</v>
      </c>
      <c r="H184">
        <v>8.7139079034298881</v>
      </c>
      <c r="I184" s="3">
        <v>8.7617808357452986</v>
      </c>
      <c r="J184" s="3">
        <f t="shared" si="6"/>
        <v>2.0329175174644509E-2</v>
      </c>
      <c r="K184" s="3">
        <f t="shared" si="7"/>
        <v>8.6151881693736385</v>
      </c>
      <c r="L184" s="3">
        <f t="shared" si="8"/>
        <v>1.6531030893420235</v>
      </c>
    </row>
    <row r="185" spans="1:12" x14ac:dyDescent="0.3">
      <c r="A185">
        <v>10.08</v>
      </c>
      <c r="B185">
        <v>78</v>
      </c>
      <c r="C185">
        <v>42</v>
      </c>
      <c r="D185">
        <v>78.400000000000006</v>
      </c>
      <c r="E185">
        <v>42.03</v>
      </c>
      <c r="F185">
        <v>0.51300000000000001</v>
      </c>
      <c r="G185">
        <v>7.0999999999999994E-2</v>
      </c>
      <c r="H185">
        <v>7.8812242578792757</v>
      </c>
      <c r="I185" s="3">
        <v>7.9245225483410699</v>
      </c>
      <c r="J185" s="3">
        <f t="shared" si="6"/>
        <v>21.38370487756875</v>
      </c>
      <c r="K185" s="3">
        <f t="shared" si="7"/>
        <v>8.0109032766337336</v>
      </c>
      <c r="L185" s="3">
        <f t="shared" si="8"/>
        <v>20.526753207998674</v>
      </c>
    </row>
    <row r="186" spans="1:12" x14ac:dyDescent="0.3">
      <c r="A186">
        <v>9.74</v>
      </c>
      <c r="B186">
        <v>93</v>
      </c>
      <c r="C186">
        <v>36</v>
      </c>
      <c r="D186">
        <v>92.99</v>
      </c>
      <c r="E186">
        <v>35.94</v>
      </c>
      <c r="F186">
        <v>-1.0999999999999999E-2</v>
      </c>
      <c r="G186">
        <v>-0.16700000000000001</v>
      </c>
      <c r="H186">
        <v>9.7284907506893088</v>
      </c>
      <c r="I186" s="3">
        <v>9.7819376524009432</v>
      </c>
      <c r="J186" s="3">
        <f t="shared" si="6"/>
        <v>0.43057137988647781</v>
      </c>
      <c r="K186" s="3">
        <f t="shared" si="7"/>
        <v>9.7650271079514077</v>
      </c>
      <c r="L186" s="3">
        <f t="shared" si="8"/>
        <v>0.2569518270165041</v>
      </c>
    </row>
    <row r="187" spans="1:12" x14ac:dyDescent="0.3">
      <c r="A187">
        <v>9.7899999999999991</v>
      </c>
      <c r="B187">
        <v>97</v>
      </c>
      <c r="C187">
        <v>35</v>
      </c>
      <c r="D187">
        <v>96.69</v>
      </c>
      <c r="E187">
        <v>34.99</v>
      </c>
      <c r="F187">
        <v>-0.32</v>
      </c>
      <c r="G187">
        <v>-2.9000000000000001E-2</v>
      </c>
      <c r="H187">
        <v>10.31301544156085</v>
      </c>
      <c r="I187" s="3">
        <v>10.369673636216231</v>
      </c>
      <c r="J187" s="3">
        <f t="shared" si="6"/>
        <v>5.9210790216162552</v>
      </c>
      <c r="K187" s="3">
        <f t="shared" si="7"/>
        <v>10.301043702946112</v>
      </c>
      <c r="L187" s="3">
        <f t="shared" si="8"/>
        <v>5.2200582527692827</v>
      </c>
    </row>
    <row r="188" spans="1:12" x14ac:dyDescent="0.3">
      <c r="A188">
        <v>10.1</v>
      </c>
      <c r="B188">
        <v>97</v>
      </c>
      <c r="C188">
        <v>35</v>
      </c>
      <c r="D188">
        <v>97.33</v>
      </c>
      <c r="E188">
        <v>34.909999999999997</v>
      </c>
      <c r="F188">
        <v>0.34</v>
      </c>
      <c r="G188">
        <v>-0.25700000000000001</v>
      </c>
      <c r="H188">
        <v>10.31301544156085</v>
      </c>
      <c r="I188" s="3">
        <v>10.369673636216231</v>
      </c>
      <c r="J188" s="3">
        <f t="shared" si="6"/>
        <v>2.6700360021408995</v>
      </c>
      <c r="K188" s="3">
        <f t="shared" si="7"/>
        <v>10.4157086269297</v>
      </c>
      <c r="L188" s="3">
        <f t="shared" si="8"/>
        <v>3.1258279894029704</v>
      </c>
    </row>
    <row r="189" spans="1:12" x14ac:dyDescent="0.3">
      <c r="A189">
        <v>9.2799999999999994</v>
      </c>
      <c r="B189">
        <v>95</v>
      </c>
      <c r="C189">
        <v>36</v>
      </c>
      <c r="D189">
        <v>95.1</v>
      </c>
      <c r="E189">
        <v>35.950000000000003</v>
      </c>
      <c r="F189">
        <v>0.105</v>
      </c>
      <c r="G189">
        <v>-0.13900000000000001</v>
      </c>
      <c r="H189">
        <v>10.149907431353171</v>
      </c>
      <c r="I189" s="3">
        <v>10.20566953451673</v>
      </c>
      <c r="J189" s="3">
        <f t="shared" si="6"/>
        <v>9.9748872253958041</v>
      </c>
      <c r="K189" s="3">
        <f t="shared" si="7"/>
        <v>10.214179198095371</v>
      </c>
      <c r="L189" s="3">
        <f t="shared" si="8"/>
        <v>10.06658618637254</v>
      </c>
    </row>
    <row r="190" spans="1:12" x14ac:dyDescent="0.3">
      <c r="A190">
        <v>9.51</v>
      </c>
      <c r="B190">
        <v>94</v>
      </c>
      <c r="C190">
        <v>37</v>
      </c>
      <c r="D190">
        <v>93.18</v>
      </c>
      <c r="E190">
        <v>37.07</v>
      </c>
      <c r="F190">
        <v>-0.872</v>
      </c>
      <c r="G190">
        <v>0.189</v>
      </c>
      <c r="H190">
        <v>10.1884394965833</v>
      </c>
      <c r="I190" s="3">
        <v>10.24441328926334</v>
      </c>
      <c r="J190" s="3">
        <f t="shared" si="6"/>
        <v>7.7225372162286057</v>
      </c>
      <c r="K190" s="3">
        <f t="shared" si="7"/>
        <v>10.084357923181383</v>
      </c>
      <c r="L190" s="3">
        <f t="shared" si="8"/>
        <v>6.0395154908662771</v>
      </c>
    </row>
    <row r="191" spans="1:12" x14ac:dyDescent="0.3">
      <c r="A191">
        <v>10.18</v>
      </c>
      <c r="B191">
        <v>91</v>
      </c>
      <c r="C191">
        <v>39</v>
      </c>
      <c r="D191">
        <v>90.4</v>
      </c>
      <c r="E191">
        <v>39.04</v>
      </c>
      <c r="F191">
        <v>-0.65900000000000003</v>
      </c>
      <c r="G191">
        <v>0.10299999999999999</v>
      </c>
      <c r="H191">
        <v>10.01829193629734</v>
      </c>
      <c r="I191" s="3">
        <v>10.07333096322963</v>
      </c>
      <c r="J191" s="3">
        <f t="shared" si="6"/>
        <v>1.0478294378228881</v>
      </c>
      <c r="K191" s="3">
        <f t="shared" si="7"/>
        <v>9.9506394903045354</v>
      </c>
      <c r="L191" s="3">
        <f t="shared" si="8"/>
        <v>2.2530501934721445</v>
      </c>
    </row>
    <row r="192" spans="1:12" x14ac:dyDescent="0.3">
      <c r="A192">
        <v>10.38</v>
      </c>
      <c r="B192">
        <v>93</v>
      </c>
      <c r="C192">
        <v>39</v>
      </c>
      <c r="D192">
        <v>92.91</v>
      </c>
      <c r="E192">
        <v>38.97</v>
      </c>
      <c r="F192">
        <v>-9.7000000000000003E-2</v>
      </c>
      <c r="G192">
        <v>-7.6999999999999999E-2</v>
      </c>
      <c r="H192">
        <v>10.461902937225849</v>
      </c>
      <c r="I192" s="3">
        <v>10.51937909795129</v>
      </c>
      <c r="J192" s="3">
        <f t="shared" si="6"/>
        <v>1.3427658762166634</v>
      </c>
      <c r="K192" s="3">
        <f t="shared" si="7"/>
        <v>10.491752666474278</v>
      </c>
      <c r="L192" s="3">
        <f t="shared" si="8"/>
        <v>1.0766152839525782</v>
      </c>
    </row>
    <row r="193" spans="1:12" x14ac:dyDescent="0.3">
      <c r="A193">
        <v>9.82</v>
      </c>
      <c r="B193">
        <v>97</v>
      </c>
      <c r="C193">
        <v>38</v>
      </c>
      <c r="D193">
        <v>96.54</v>
      </c>
      <c r="E193">
        <v>38.08</v>
      </c>
      <c r="F193">
        <v>-0.47399999999999998</v>
      </c>
      <c r="G193">
        <v>0.21099999999999999</v>
      </c>
      <c r="H193">
        <v>11.1126246803193</v>
      </c>
      <c r="I193" s="3">
        <v>11.17367581088703</v>
      </c>
      <c r="J193" s="3">
        <f t="shared" si="6"/>
        <v>13.784886057912724</v>
      </c>
      <c r="K193" s="3">
        <f t="shared" si="7"/>
        <v>11.089460727935121</v>
      </c>
      <c r="L193" s="3">
        <f t="shared" si="8"/>
        <v>12.927298655143796</v>
      </c>
    </row>
    <row r="194" spans="1:12" x14ac:dyDescent="0.3">
      <c r="A194">
        <v>11.35</v>
      </c>
      <c r="B194">
        <v>97</v>
      </c>
      <c r="C194">
        <v>40</v>
      </c>
      <c r="D194">
        <v>96.41</v>
      </c>
      <c r="E194">
        <v>39.92</v>
      </c>
      <c r="F194">
        <v>-0.60799999999999998</v>
      </c>
      <c r="G194">
        <v>-0.2</v>
      </c>
      <c r="H194">
        <v>11.642450421176431</v>
      </c>
      <c r="I194" s="3">
        <v>11.70641233667695</v>
      </c>
      <c r="J194" s="3">
        <f t="shared" si="6"/>
        <v>3.1401967989158597</v>
      </c>
      <c r="K194" s="3">
        <f t="shared" si="7"/>
        <v>11.543911836499342</v>
      </c>
      <c r="L194" s="3">
        <f t="shared" si="8"/>
        <v>1.708474330390684</v>
      </c>
    </row>
    <row r="195" spans="1:12" x14ac:dyDescent="0.3">
      <c r="A195">
        <v>12.7</v>
      </c>
      <c r="B195">
        <v>97</v>
      </c>
      <c r="C195">
        <v>40</v>
      </c>
      <c r="D195">
        <v>97.18</v>
      </c>
      <c r="E195">
        <v>39.909999999999997</v>
      </c>
      <c r="F195">
        <v>0.186</v>
      </c>
      <c r="G195">
        <v>-0.22500000000000001</v>
      </c>
      <c r="H195">
        <v>11.642450421176431</v>
      </c>
      <c r="I195" s="3">
        <v>11.70641233667695</v>
      </c>
      <c r="J195" s="3">
        <f t="shared" ref="J195:J200" si="9">(ABS(I195-A195)/A195)*100</f>
        <v>7.8235249080555098</v>
      </c>
      <c r="K195" s="3">
        <f t="shared" ref="K195:K210" si="10">EXP(-10.012365)*(D195^1.992998)*(E195^0.908035)*1.005494</f>
        <v>11.725723143757858</v>
      </c>
      <c r="L195" s="3">
        <f t="shared" ref="L195:L210" si="11">((ABS(K195-A195))/A195)*100</f>
        <v>7.6714713089932429</v>
      </c>
    </row>
    <row r="196" spans="1:12" x14ac:dyDescent="0.3">
      <c r="A196">
        <v>13.45</v>
      </c>
      <c r="B196">
        <v>97</v>
      </c>
      <c r="C196">
        <v>40</v>
      </c>
      <c r="D196">
        <v>96.27</v>
      </c>
      <c r="E196">
        <v>40.14</v>
      </c>
      <c r="F196">
        <v>-0.753</v>
      </c>
      <c r="G196">
        <v>0.35</v>
      </c>
      <c r="H196">
        <v>11.642450421176431</v>
      </c>
      <c r="I196" s="3">
        <v>11.70641233667695</v>
      </c>
      <c r="J196" s="3">
        <f t="shared" si="9"/>
        <v>12.963477050728994</v>
      </c>
      <c r="K196" s="3">
        <f t="shared" si="10"/>
        <v>11.568113164755495</v>
      </c>
      <c r="L196" s="3">
        <f t="shared" si="11"/>
        <v>13.991723682115275</v>
      </c>
    </row>
    <row r="197" spans="1:12" x14ac:dyDescent="0.3">
      <c r="A197">
        <v>11.22</v>
      </c>
      <c r="B197">
        <v>101</v>
      </c>
      <c r="C197">
        <v>39</v>
      </c>
      <c r="D197">
        <v>101.96</v>
      </c>
      <c r="E197">
        <v>39.01</v>
      </c>
      <c r="F197">
        <v>0.95</v>
      </c>
      <c r="G197">
        <v>2.5999999999999999E-2</v>
      </c>
      <c r="H197">
        <v>12.332087542543819</v>
      </c>
      <c r="I197" s="3">
        <v>12.39983822326877</v>
      </c>
      <c r="J197" s="3">
        <f t="shared" si="9"/>
        <v>10.515492185996157</v>
      </c>
      <c r="K197" s="3">
        <f t="shared" si="10"/>
        <v>12.638766637567688</v>
      </c>
      <c r="L197" s="3">
        <f t="shared" si="11"/>
        <v>12.644978944453539</v>
      </c>
    </row>
    <row r="198" spans="1:12" x14ac:dyDescent="0.3">
      <c r="A198">
        <v>12.37</v>
      </c>
      <c r="B198">
        <v>97</v>
      </c>
      <c r="C198">
        <v>41</v>
      </c>
      <c r="D198">
        <v>97</v>
      </c>
      <c r="E198">
        <v>40.94</v>
      </c>
      <c r="F198">
        <v>0</v>
      </c>
      <c r="G198">
        <v>-0.14599999999999999</v>
      </c>
      <c r="H198">
        <v>11.906443198520121</v>
      </c>
      <c r="I198" s="3">
        <v>11.971855451630541</v>
      </c>
      <c r="J198" s="3">
        <f t="shared" si="9"/>
        <v>3.2186301404159949</v>
      </c>
      <c r="K198" s="3">
        <f t="shared" si="10"/>
        <v>11.955930128896037</v>
      </c>
      <c r="L198" s="3">
        <f t="shared" si="11"/>
        <v>3.3473716338234594</v>
      </c>
    </row>
    <row r="199" spans="1:12" x14ac:dyDescent="0.3">
      <c r="A199">
        <v>13.56</v>
      </c>
      <c r="B199">
        <v>97</v>
      </c>
      <c r="C199">
        <v>41</v>
      </c>
      <c r="D199">
        <v>96.97</v>
      </c>
      <c r="E199">
        <v>41.14</v>
      </c>
      <c r="F199">
        <v>-3.1E-2</v>
      </c>
      <c r="G199">
        <v>0.34100000000000003</v>
      </c>
      <c r="H199">
        <v>11.906443198520121</v>
      </c>
      <c r="I199" s="3">
        <v>11.971855451630541</v>
      </c>
      <c r="J199" s="3">
        <f t="shared" si="9"/>
        <v>11.711980445202506</v>
      </c>
      <c r="K199" s="3">
        <f t="shared" si="10"/>
        <v>12.001552837038972</v>
      </c>
      <c r="L199" s="3">
        <f t="shared" si="11"/>
        <v>11.492973178178678</v>
      </c>
    </row>
    <row r="200" spans="1:12" x14ac:dyDescent="0.3">
      <c r="A200">
        <v>11.28</v>
      </c>
      <c r="B200">
        <v>100</v>
      </c>
      <c r="C200">
        <v>40</v>
      </c>
      <c r="D200">
        <v>99.27</v>
      </c>
      <c r="E200">
        <v>39.909999999999997</v>
      </c>
      <c r="F200">
        <v>-0.73</v>
      </c>
      <c r="G200">
        <v>-0.22500000000000001</v>
      </c>
      <c r="H200">
        <v>12.37109965506782</v>
      </c>
      <c r="I200" s="3">
        <v>12.4390646626187</v>
      </c>
      <c r="J200" s="3">
        <f t="shared" si="9"/>
        <v>10.275395945201243</v>
      </c>
      <c r="K200" s="3">
        <f t="shared" si="10"/>
        <v>12.2336818993787</v>
      </c>
      <c r="L200" s="3">
        <f t="shared" si="11"/>
        <v>8.454626767541674</v>
      </c>
    </row>
    <row r="201" spans="1:12" x14ac:dyDescent="0.3">
      <c r="A201">
        <v>12.91</v>
      </c>
      <c r="B201">
        <v>101</v>
      </c>
      <c r="C201">
        <v>40</v>
      </c>
      <c r="D201">
        <v>101.15</v>
      </c>
      <c r="E201">
        <v>40.07</v>
      </c>
      <c r="F201">
        <v>0.14899999999999999</v>
      </c>
      <c r="G201">
        <v>0.17499999999999999</v>
      </c>
      <c r="H201">
        <v>12.618879551915271</v>
      </c>
      <c r="I201" s="3">
        <v>12.68820582588787</v>
      </c>
      <c r="J201" s="3">
        <f>(ABS(I201-A201)/A201)*100</f>
        <v>1.7180028978476383</v>
      </c>
      <c r="K201" s="3">
        <f t="shared" si="10"/>
        <v>12.745993063259514</v>
      </c>
      <c r="L201" s="3">
        <f t="shared" si="11"/>
        <v>1.2703868066652719</v>
      </c>
    </row>
    <row r="202" spans="1:12" x14ac:dyDescent="0.3">
      <c r="A202">
        <v>14.13</v>
      </c>
      <c r="B202">
        <v>101</v>
      </c>
      <c r="C202">
        <v>41</v>
      </c>
      <c r="D202">
        <v>100.53</v>
      </c>
      <c r="E202">
        <v>40.96</v>
      </c>
      <c r="F202">
        <v>-0.46500000000000002</v>
      </c>
      <c r="G202">
        <v>-9.8000000000000004E-2</v>
      </c>
      <c r="H202">
        <v>12.90501287774987</v>
      </c>
      <c r="I202" s="3">
        <v>12.975911126259341</v>
      </c>
      <c r="J202" s="3">
        <f t="shared" ref="J202:J210" si="12">(ABS(I202-A202)/A202)*100</f>
        <v>8.1676494956876144</v>
      </c>
      <c r="K202" s="3">
        <f t="shared" si="10"/>
        <v>12.844439847198446</v>
      </c>
      <c r="L202" s="3">
        <f t="shared" si="11"/>
        <v>9.0980902533726447</v>
      </c>
    </row>
    <row r="203" spans="1:12" x14ac:dyDescent="0.3">
      <c r="A203">
        <v>14.04</v>
      </c>
      <c r="B203">
        <v>105</v>
      </c>
      <c r="C203">
        <v>41</v>
      </c>
      <c r="D203">
        <v>105.03</v>
      </c>
      <c r="E203">
        <v>41.07</v>
      </c>
      <c r="F203">
        <v>2.9000000000000001E-2</v>
      </c>
      <c r="G203">
        <v>0.17100000000000001</v>
      </c>
      <c r="H203">
        <v>13.94364075094354</v>
      </c>
      <c r="I203" s="3">
        <v>14.020245068696029</v>
      </c>
      <c r="J203" s="3">
        <f t="shared" si="12"/>
        <v>0.14070463891716359</v>
      </c>
      <c r="K203" s="3">
        <f t="shared" si="10"/>
        <v>14.049957529544747</v>
      </c>
      <c r="L203" s="3">
        <f t="shared" si="11"/>
        <v>7.0922575105039895E-2</v>
      </c>
    </row>
    <row r="204" spans="1:12" x14ac:dyDescent="0.3">
      <c r="A204">
        <v>14.67</v>
      </c>
      <c r="B204">
        <v>107</v>
      </c>
      <c r="C204">
        <v>42</v>
      </c>
      <c r="D204">
        <v>106.33</v>
      </c>
      <c r="E204">
        <v>42.02</v>
      </c>
      <c r="F204">
        <v>-0.626</v>
      </c>
      <c r="G204">
        <v>4.8000000000000001E-2</v>
      </c>
      <c r="H204">
        <v>14.798263194984081</v>
      </c>
      <c r="I204" s="3">
        <v>14.879562683132249</v>
      </c>
      <c r="J204" s="3">
        <f t="shared" si="12"/>
        <v>1.4285118141257631</v>
      </c>
      <c r="K204" s="3">
        <f t="shared" si="10"/>
        <v>14.70078443875471</v>
      </c>
      <c r="L204" s="3">
        <f t="shared" si="11"/>
        <v>0.20984620828022904</v>
      </c>
    </row>
    <row r="205" spans="1:12" x14ac:dyDescent="0.3">
      <c r="A205">
        <v>15.65</v>
      </c>
      <c r="B205">
        <v>107</v>
      </c>
      <c r="C205">
        <v>45</v>
      </c>
      <c r="D205">
        <v>106.99</v>
      </c>
      <c r="E205">
        <v>44.91</v>
      </c>
      <c r="F205">
        <v>-8.9999999999999993E-3</v>
      </c>
      <c r="G205">
        <v>-0.2</v>
      </c>
      <c r="H205">
        <v>15.755000044792411</v>
      </c>
      <c r="I205" s="3">
        <v>15.84155570490867</v>
      </c>
      <c r="J205" s="3">
        <f t="shared" si="12"/>
        <v>1.2239981144323919</v>
      </c>
      <c r="K205" s="3">
        <f t="shared" si="10"/>
        <v>15.809817370885494</v>
      </c>
      <c r="L205" s="3">
        <f t="shared" si="11"/>
        <v>1.0211972580542703</v>
      </c>
    </row>
    <row r="206" spans="1:12" x14ac:dyDescent="0.3">
      <c r="A206">
        <v>14.5</v>
      </c>
      <c r="B206">
        <v>108</v>
      </c>
      <c r="C206">
        <v>45</v>
      </c>
      <c r="D206">
        <v>107.95</v>
      </c>
      <c r="E206">
        <v>45.17</v>
      </c>
      <c r="F206">
        <v>-4.5999999999999999E-2</v>
      </c>
      <c r="G206">
        <v>0.378</v>
      </c>
      <c r="H206">
        <v>16.0498166966841</v>
      </c>
      <c r="I206" s="3">
        <v>16.137992036257369</v>
      </c>
      <c r="J206" s="3">
        <f t="shared" si="12"/>
        <v>11.296496801774961</v>
      </c>
      <c r="K206" s="3">
        <f t="shared" si="10"/>
        <v>16.178381918238824</v>
      </c>
      <c r="L206" s="3">
        <f t="shared" si="11"/>
        <v>11.575047711991887</v>
      </c>
    </row>
    <row r="207" spans="1:12" x14ac:dyDescent="0.3">
      <c r="A207">
        <v>19.88</v>
      </c>
      <c r="B207">
        <v>114</v>
      </c>
      <c r="C207">
        <v>44</v>
      </c>
      <c r="D207">
        <v>113</v>
      </c>
      <c r="E207">
        <v>44.12</v>
      </c>
      <c r="F207">
        <v>-0.877</v>
      </c>
      <c r="G207">
        <v>0.27300000000000002</v>
      </c>
      <c r="H207">
        <v>17.514816023015939</v>
      </c>
      <c r="I207" s="3">
        <v>17.611039854077621</v>
      </c>
      <c r="J207" s="3">
        <f t="shared" si="12"/>
        <v>11.413280412084397</v>
      </c>
      <c r="K207" s="3">
        <f t="shared" si="10"/>
        <v>17.347322182486042</v>
      </c>
      <c r="L207" s="3">
        <f t="shared" si="11"/>
        <v>12.739828055905214</v>
      </c>
    </row>
    <row r="208" spans="1:12" x14ac:dyDescent="0.3">
      <c r="A208">
        <v>16.47</v>
      </c>
      <c r="B208">
        <v>110</v>
      </c>
      <c r="C208">
        <v>46</v>
      </c>
      <c r="D208">
        <v>109.04</v>
      </c>
      <c r="E208">
        <v>45.83</v>
      </c>
      <c r="F208">
        <v>-0.873</v>
      </c>
      <c r="G208">
        <v>-0.37</v>
      </c>
      <c r="H208">
        <v>16.983203866283361</v>
      </c>
      <c r="I208" s="3">
        <v>17.076507098105381</v>
      </c>
      <c r="J208" s="3">
        <f t="shared" si="12"/>
        <v>3.6824960419270325</v>
      </c>
      <c r="K208" s="3">
        <f t="shared" si="10"/>
        <v>16.724430315590396</v>
      </c>
      <c r="L208" s="3">
        <f t="shared" si="11"/>
        <v>1.5448106593223896</v>
      </c>
    </row>
    <row r="209" spans="1:12" x14ac:dyDescent="0.3">
      <c r="A209">
        <v>17.04</v>
      </c>
      <c r="B209">
        <v>106</v>
      </c>
      <c r="C209">
        <v>48</v>
      </c>
      <c r="D209">
        <v>106.49</v>
      </c>
      <c r="E209">
        <v>47.84</v>
      </c>
      <c r="F209">
        <v>0.46200000000000002</v>
      </c>
      <c r="G209">
        <v>-0.33300000000000002</v>
      </c>
      <c r="H209">
        <v>16.396162155506239</v>
      </c>
      <c r="I209" s="3">
        <v>16.48624026624621</v>
      </c>
      <c r="J209" s="3">
        <f t="shared" si="12"/>
        <v>3.2497636957382023</v>
      </c>
      <c r="K209" s="3">
        <f t="shared" si="10"/>
        <v>16.588084030732226</v>
      </c>
      <c r="L209" s="3">
        <f t="shared" si="11"/>
        <v>2.6520890215244908</v>
      </c>
    </row>
    <row r="210" spans="1:12" x14ac:dyDescent="0.3">
      <c r="A210">
        <v>21.98</v>
      </c>
      <c r="B210">
        <v>106</v>
      </c>
      <c r="C210">
        <v>52</v>
      </c>
      <c r="D210">
        <v>105.64</v>
      </c>
      <c r="E210">
        <v>52.2</v>
      </c>
      <c r="F210">
        <v>-0.34</v>
      </c>
      <c r="G210">
        <v>0.38500000000000001</v>
      </c>
      <c r="H210">
        <v>17.632237251370981</v>
      </c>
      <c r="I210" s="3">
        <v>17.72910617744397</v>
      </c>
      <c r="J210" s="3">
        <f t="shared" si="12"/>
        <v>19.339826308262193</v>
      </c>
      <c r="K210" s="3">
        <f t="shared" si="10"/>
        <v>17.670770519243128</v>
      </c>
      <c r="L210" s="3">
        <f t="shared" si="11"/>
        <v>19.605229666773759</v>
      </c>
    </row>
    <row r="212" spans="1:12" x14ac:dyDescent="0.3">
      <c r="K2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2026-01-14T11:31:37Z</dcterms:created>
  <dcterms:modified xsi:type="dcterms:W3CDTF">2026-01-14T11:49:40Z</dcterms:modified>
</cp:coreProperties>
</file>